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6.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7.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1" codeName="{00000000-0000-0000-0000-000000000000}"/>
  <fileSharing readOnlyRecommended="1"/>
  <workbookPr codeName="ThisWorkbook" defaultThemeVersion="166925"/>
  <mc:AlternateContent xmlns:mc="http://schemas.openxmlformats.org/markup-compatibility/2006">
    <mc:Choice Requires="x15">
      <x15ac:absPath xmlns:x15ac="http://schemas.microsoft.com/office/spreadsheetml/2010/11/ac" url="https://nhsengland.sharepoint.com/sites/ppl/dcpop/cs/OpenLib/Staff Engagement/National Quarterly Pulse Survey/Comms plan/20220721 Data Release/Web docs/Data files for upload/"/>
    </mc:Choice>
  </mc:AlternateContent>
  <xr:revisionPtr revIDLastSave="0" documentId="8_{A1FE77D8-A969-4164-870C-C4AB4E7E599B}" xr6:coauthVersionLast="47" xr6:coauthVersionMax="47" xr10:uidLastSave="{00000000-0000-0000-0000-000000000000}"/>
  <workbookProtection workbookAlgorithmName="SHA-512" workbookHashValue="FTn5HIgFqiLbFEX7xgbxuCRd738JKDfYe8qAASZdgO7QKssNJFNwpKck6o+1DsizzOv6P9ebhh3fQFQtyEj9cw==" workbookSaltValue="lbXQzBoQQpSXY4zLZ4VpvA==" workbookSpinCount="100000" lockStructure="1"/>
  <bookViews>
    <workbookView xWindow="28680" yWindow="-120" windowWidth="29040" windowHeight="15840" firstSheet="1" activeTab="1" xr2:uid="{1A76CAD8-F23F-4CB5-8411-B917F539178B}"/>
  </bookViews>
  <sheets>
    <sheet name="Notes" sheetId="1" r:id="rId1"/>
    <sheet name="Summary" sheetId="2" r:id="rId2"/>
    <sheet name="Engagement Score Breakdown" sheetId="3" r:id="rId3"/>
    <sheet name="Engagement Score" sheetId="4" r:id="rId4"/>
    <sheet name="Advocacy" sheetId="5" r:id="rId5"/>
    <sheet name="Involvement" sheetId="6" r:id="rId6"/>
    <sheet name="Motivation" sheetId="7" r:id="rId7"/>
    <sheet name="BS" sheetId="8" state="hidden" r:id="rId8"/>
  </sheets>
  <externalReferences>
    <externalReference r:id="rId9"/>
    <externalReference r:id="rId10"/>
  </externalReferences>
  <definedNames>
    <definedName name="_xlnm._FilterDatabase" localSheetId="4" hidden="1">Advocacy!$A$10:$K$194</definedName>
    <definedName name="_xlnm._FilterDatabase" localSheetId="7" hidden="1">BS!$AB$1:$AF$186</definedName>
    <definedName name="_xlnm._FilterDatabase" localSheetId="3" hidden="1">'Engagement Score'!$A$7:$J$196</definedName>
    <definedName name="_xlnm._FilterDatabase" localSheetId="2" hidden="1">'Engagement Score Breakdown'!$A$9:$M$203</definedName>
    <definedName name="_xlnm._FilterDatabase" localSheetId="5" hidden="1">Involvement!$A$10:$K$184</definedName>
    <definedName name="_xlnm._FilterDatabase" localSheetId="6" hidden="1">Motivation!$A$10:$K$184</definedName>
    <definedName name="_xlnm._FilterDatabase" localSheetId="0" hidden="1">Notes!$C$14:$C$39</definedName>
    <definedName name="_xlnm._FilterDatabase" localSheetId="1" hidden="1">Summary!#REF!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TP_Code">"STP code"</definedName>
    <definedName name="TableName">"Dummy"</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96" i="3" l="1"/>
  <c r="D195" i="3"/>
  <c r="D194" i="3"/>
  <c r="D193" i="3"/>
  <c r="D192" i="3"/>
  <c r="D191" i="3"/>
  <c r="D190" i="3"/>
  <c r="D189" i="3"/>
  <c r="D188" i="3"/>
  <c r="D187" i="3"/>
  <c r="D186" i="3"/>
  <c r="D185" i="3"/>
  <c r="D184" i="3"/>
  <c r="D183" i="3"/>
  <c r="D182" i="3"/>
  <c r="D181" i="3"/>
  <c r="D180" i="3"/>
  <c r="D179" i="3"/>
  <c r="D178" i="3"/>
  <c r="D177" i="3"/>
  <c r="D176" i="3"/>
  <c r="D175" i="3"/>
  <c r="D174" i="3"/>
  <c r="D173" i="3"/>
  <c r="D172" i="3"/>
  <c r="D171" i="3"/>
  <c r="D170" i="3"/>
  <c r="D169" i="3"/>
  <c r="D168" i="3"/>
  <c r="D167" i="3"/>
  <c r="D166" i="3"/>
  <c r="D165" i="3"/>
  <c r="D164" i="3"/>
  <c r="D163" i="3"/>
  <c r="D162" i="3"/>
  <c r="D161" i="3"/>
  <c r="D160" i="3"/>
  <c r="D159" i="3"/>
  <c r="D158" i="3"/>
  <c r="D157" i="3"/>
  <c r="D156" i="3"/>
  <c r="D155" i="3"/>
  <c r="D154" i="3"/>
  <c r="D153" i="3"/>
  <c r="D152" i="3"/>
  <c r="D151" i="3"/>
  <c r="D150" i="3"/>
  <c r="D149" i="3"/>
  <c r="D148" i="3"/>
  <c r="D147" i="3"/>
  <c r="D146" i="3"/>
  <c r="D145" i="3"/>
  <c r="D144" i="3"/>
  <c r="D143" i="3"/>
  <c r="D142" i="3"/>
  <c r="D141" i="3"/>
  <c r="D140" i="3"/>
  <c r="D139" i="3"/>
  <c r="D138" i="3"/>
  <c r="D137" i="3"/>
  <c r="D136" i="3"/>
  <c r="D135" i="3"/>
  <c r="D134" i="3"/>
  <c r="D133" i="3"/>
  <c r="D132" i="3"/>
  <c r="D131" i="3"/>
  <c r="D130" i="3"/>
  <c r="D129" i="3"/>
  <c r="D128" i="3"/>
  <c r="D127" i="3"/>
  <c r="D126" i="3"/>
  <c r="D125" i="3"/>
  <c r="D124" i="3"/>
  <c r="D123" i="3"/>
  <c r="D122" i="3"/>
  <c r="D121" i="3"/>
  <c r="D120" i="3"/>
  <c r="D119" i="3"/>
  <c r="D118" i="3"/>
  <c r="D117" i="3"/>
  <c r="D116" i="3"/>
  <c r="D115" i="3"/>
  <c r="D114" i="3"/>
  <c r="D113" i="3"/>
  <c r="D112" i="3"/>
  <c r="D111" i="3"/>
  <c r="D110" i="3"/>
  <c r="D109" i="3"/>
  <c r="D108" i="3"/>
  <c r="D107" i="3"/>
  <c r="D106" i="3"/>
  <c r="D105" i="3"/>
  <c r="D104" i="3"/>
  <c r="D103" i="3"/>
  <c r="D102" i="3"/>
  <c r="D101" i="3"/>
  <c r="D100" i="3"/>
  <c r="D99" i="3"/>
  <c r="D98" i="3"/>
  <c r="D97" i="3"/>
  <c r="D96" i="3"/>
  <c r="D95" i="3"/>
  <c r="D94" i="3"/>
  <c r="D93" i="3"/>
  <c r="D92" i="3"/>
  <c r="D91" i="3"/>
  <c r="D90" i="3"/>
  <c r="D89" i="3"/>
  <c r="D88" i="3"/>
  <c r="D87" i="3"/>
  <c r="D86" i="3"/>
  <c r="D85" i="3"/>
  <c r="D84" i="3"/>
  <c r="D83" i="3"/>
  <c r="D82" i="3"/>
  <c r="D81" i="3"/>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D23" i="3"/>
  <c r="D22" i="3"/>
  <c r="D21" i="3"/>
  <c r="D20" i="3"/>
  <c r="D19" i="3"/>
  <c r="D18" i="3"/>
  <c r="D17" i="3"/>
  <c r="D16" i="3"/>
  <c r="D15" i="3"/>
  <c r="D14" i="3"/>
  <c r="D13" i="3"/>
  <c r="D12" i="3"/>
  <c r="D11" i="3"/>
  <c r="D10" i="3"/>
</calcChain>
</file>

<file path=xl/sharedStrings.xml><?xml version="1.0" encoding="utf-8"?>
<sst xmlns="http://schemas.openxmlformats.org/spreadsheetml/2006/main" count="8255" uniqueCount="548">
  <si>
    <t>National Quarterly Pulse Survey Data - Q2 2022-23</t>
  </si>
  <si>
    <t xml:space="preserve">: </t>
  </si>
  <si>
    <t>National level headline figures for Quarter 2</t>
  </si>
  <si>
    <t>187 NHS service providers submitted to Q2 2022-23</t>
  </si>
  <si>
    <t>Quarter 2</t>
  </si>
  <si>
    <t>Response count</t>
  </si>
  <si>
    <t>Head Count</t>
  </si>
  <si>
    <t>Score</t>
  </si>
  <si>
    <t>Engagement</t>
  </si>
  <si>
    <t>Engagement Score - Acute and Acute &amp; Community Trusts</t>
  </si>
  <si>
    <t>Engagement Score - Acute Specialist Trusts</t>
  </si>
  <si>
    <t>Engagement Score - Ambulance Trusts</t>
  </si>
  <si>
    <t>Engagement Score - Community Trusts</t>
  </si>
  <si>
    <t>Engagement Score - Mental Health &amp; Learning Disability and Mental Health, Learning Disability &amp; Community Trusts</t>
  </si>
  <si>
    <t>Motivation</t>
  </si>
  <si>
    <t>Motivation Score - Acute and Acute &amp; Community Trusts</t>
  </si>
  <si>
    <t>Motivation Score - Acute Specialist Trusts</t>
  </si>
  <si>
    <t>Motivation Score - Ambulance Trusts</t>
  </si>
  <si>
    <t>Motivation Score - Community Trusts</t>
  </si>
  <si>
    <t>Motivation Score - Mental Health &amp; Learning Disability and Mental Health, Learning Disability &amp; Community Trusts</t>
  </si>
  <si>
    <t>Advocacy</t>
  </si>
  <si>
    <t>Advocacy Score - Acute and Acute &amp; Community Trusts</t>
  </si>
  <si>
    <t>Advocacy Score - Acute Specialist Trusts</t>
  </si>
  <si>
    <t>Advocacy Score - Ambulance Trusts</t>
  </si>
  <si>
    <t>Advocacy Score - Community Trusts</t>
  </si>
  <si>
    <t>Advocacy Score - Mental Health &amp; Learning Disability and Mental Health, Learning Disability &amp; Community Trusts</t>
  </si>
  <si>
    <t>Involvement</t>
  </si>
  <si>
    <t>Involvement Score - Acute and Acute &amp; Community Trusts</t>
  </si>
  <si>
    <t>Involvement Score - Acute Specialist Trusts</t>
  </si>
  <si>
    <t>Involvement Score - Ambulance Trusts</t>
  </si>
  <si>
    <t>Involvement Score - Community Trusts</t>
  </si>
  <si>
    <t>Involvement Score - Mental Health &amp; Learning Disability and Mental Health, Learning Disability &amp; Community Trusts</t>
  </si>
  <si>
    <t>Region Code</t>
  </si>
  <si>
    <t>Region Name</t>
  </si>
  <si>
    <t>STP Code</t>
  </si>
  <si>
    <t>STP Name</t>
  </si>
  <si>
    <t>Org Code</t>
  </si>
  <si>
    <t>Org Name</t>
  </si>
  <si>
    <t>Care Setting</t>
  </si>
  <si>
    <t>Total Responses</t>
  </si>
  <si>
    <t>HSCIC Workforce Headcount</t>
  </si>
  <si>
    <t>Engagement Score</t>
  </si>
  <si>
    <t>England</t>
  </si>
  <si>
    <t>Y56</t>
  </si>
  <si>
    <t>LONDON COMMISSIONING REGION</t>
  </si>
  <si>
    <t>QKK</t>
  </si>
  <si>
    <t>RJ1</t>
  </si>
  <si>
    <t>GUY'S AND ST THOMAS' NHS FOUNDATION TRUST</t>
  </si>
  <si>
    <t>Acute and Acute &amp; Community Trusts</t>
  </si>
  <si>
    <t>RJZ</t>
  </si>
  <si>
    <t>KING'S COLLEGE HOSPITAL NHS FOUNDATION TRUST</t>
  </si>
  <si>
    <t>RJ2</t>
  </si>
  <si>
    <t>LEWISHAM AND GREENWICH NHS TRUST</t>
  </si>
  <si>
    <t>RV5</t>
  </si>
  <si>
    <t>SOUTH LONDON AND MAUDSLEY NHS FOUNDATION TRUST</t>
  </si>
  <si>
    <t>Mental Health &amp; Learning Disability and Mental Health, Learning Disability &amp; Community Trusts</t>
  </si>
  <si>
    <t>QMF</t>
  </si>
  <si>
    <t>R1H</t>
  </si>
  <si>
    <t>BARTS HEALTH NHS TRUST</t>
  </si>
  <si>
    <t>RWK</t>
  </si>
  <si>
    <t>EAST LONDON NHS FOUNDATION TRUST</t>
  </si>
  <si>
    <t>RQX</t>
  </si>
  <si>
    <t>HOMERTON HEALTHCARE NHS FOUNDATION TRUST</t>
  </si>
  <si>
    <t>RAT</t>
  </si>
  <si>
    <t>NORTH EAST LONDON NHS FOUNDATION TRUST</t>
  </si>
  <si>
    <t>QMJ</t>
  </si>
  <si>
    <t>RRP</t>
  </si>
  <si>
    <t>BARNET, ENFIELD AND HARINGEY MENTAL HEALTH NHS TRUST</t>
  </si>
  <si>
    <t>TAF</t>
  </si>
  <si>
    <t>CAMDEN AND ISLINGTON NHS FOUNDATION TRUST</t>
  </si>
  <si>
    <t>RP4</t>
  </si>
  <si>
    <t>GREAT ORMOND STREET HOSPITAL FOR CHILDREN NHS FOUNDATION TRUST</t>
  </si>
  <si>
    <t>Acute Specialist Trusts</t>
  </si>
  <si>
    <t>RP6</t>
  </si>
  <si>
    <t>MOORFIELDS EYE HOSPITAL NHS FOUNDATION TRUST</t>
  </si>
  <si>
    <t>RAP</t>
  </si>
  <si>
    <t>NORTH MIDDLESEX UNIVERSITY HOSPITAL NHS TRUST</t>
  </si>
  <si>
    <t>RAL</t>
  </si>
  <si>
    <t>ROYAL FREE LONDON NHS FOUNDATION TRUST</t>
  </si>
  <si>
    <t>RNK</t>
  </si>
  <si>
    <t>TAVISTOCK AND PORTMAN NHS FOUNDATION TRUST</t>
  </si>
  <si>
    <t>RRV</t>
  </si>
  <si>
    <t>UNIVERSITY COLLEGE LONDON HOSPITALS NHS FOUNDATION TRUST</t>
  </si>
  <si>
    <t>RKE</t>
  </si>
  <si>
    <t>WHITTINGTON HEALTH NHS TRUST</t>
  </si>
  <si>
    <t>QRV</t>
  </si>
  <si>
    <t>RYX</t>
  </si>
  <si>
    <t>CENTRAL LONDON COMMUNITY HEALTHCARE NHS TRUST</t>
  </si>
  <si>
    <t>Community Trusts</t>
  </si>
  <si>
    <t>RYJ</t>
  </si>
  <si>
    <t>IMPERIAL COLLEGE HEALTHCARE NHS TRUST</t>
  </si>
  <si>
    <t>RAN</t>
  </si>
  <si>
    <t>ROYAL NATIONAL ORTHOPAEDIC HOSPITAL NHS TRUST</t>
  </si>
  <si>
    <t>RAS</t>
  </si>
  <si>
    <t>THE HILLINGDON HOSPITALS NHS FOUNDATION TRUST</t>
  </si>
  <si>
    <t>RPY</t>
  </si>
  <si>
    <t>THE ROYAL MARSDEN NHS FOUNDATION TRUST</t>
  </si>
  <si>
    <t>QWE</t>
  </si>
  <si>
    <t>RVR</t>
  </si>
  <si>
    <t>EPSOM AND ST HELIER UNIVERSITY HOSPITALS NHS TRUST</t>
  </si>
  <si>
    <t>RY9</t>
  </si>
  <si>
    <t>HOUNSLOW AND RICHMOND COMMUNITY HEALTHCARE NHS TRUST</t>
  </si>
  <si>
    <t>RQY</t>
  </si>
  <si>
    <t>SOUTH WEST LONDON AND ST GEORGE'S MENTAL HEALTH NHS TRUST</t>
  </si>
  <si>
    <t>RJ7</t>
  </si>
  <si>
    <t>ST GEORGE'S UNIVERSITY HOSPITALS NHS FOUNDATION TRUST</t>
  </si>
  <si>
    <t>Y58</t>
  </si>
  <si>
    <t>SOUTH WEST COMMISSIONING REGION</t>
  </si>
  <si>
    <t>QJK</t>
  </si>
  <si>
    <t>RWV</t>
  </si>
  <si>
    <t>DEVON PARTNERSHIP NHS TRUST</t>
  </si>
  <si>
    <t>RBZ</t>
  </si>
  <si>
    <t>NORTHERN DEVON HEALTHCARE NHS TRUST</t>
  </si>
  <si>
    <t>RA9</t>
  </si>
  <si>
    <t>TORBAY AND SOUTH DEVON NHS FOUNDATION TRUST</t>
  </si>
  <si>
    <t>RK9</t>
  </si>
  <si>
    <t>UNIVERSITY HOSPITALS PLYMOUTH NHS TRUST</t>
  </si>
  <si>
    <t>QOX</t>
  </si>
  <si>
    <t>RVN</t>
  </si>
  <si>
    <t>AVON AND WILTSHIRE MENTAL HEALTH PARTNERSHIP NHS TRUST</t>
  </si>
  <si>
    <t>RN3</t>
  </si>
  <si>
    <t>GREAT WESTERN HOSPITALS NHS FOUNDATION TRUST</t>
  </si>
  <si>
    <t>RNZ</t>
  </si>
  <si>
    <t>SALISBURY NHS FOUNDATION TRUST</t>
  </si>
  <si>
    <t>QR1</t>
  </si>
  <si>
    <t>RTQ</t>
  </si>
  <si>
    <t>GLOUCESTERSHIRE HEALTH AND CARE NHS FOUNDATION TRUST</t>
  </si>
  <si>
    <t>RTE</t>
  </si>
  <si>
    <t>GLOUCESTERSHIRE HOSPITALS NHS FOUNDATION TRUST</t>
  </si>
  <si>
    <t>QSL</t>
  </si>
  <si>
    <t>RH5</t>
  </si>
  <si>
    <t>SOMERSET NHS FOUNDATION TRUST</t>
  </si>
  <si>
    <t>RA4</t>
  </si>
  <si>
    <t>YEOVIL DISTRICT HOSPITAL NHS FOUNDATION TRUST</t>
  </si>
  <si>
    <t>QT6</t>
  </si>
  <si>
    <t>RJ8</t>
  </si>
  <si>
    <t>CORNWALL PARTNERSHIP NHS FOUNDATION TRUST</t>
  </si>
  <si>
    <t>REF</t>
  </si>
  <si>
    <t>ROYAL CORNWALL HOSPITALS NHS TRUST</t>
  </si>
  <si>
    <t>QUY</t>
  </si>
  <si>
    <t>RVJ</t>
  </si>
  <si>
    <t>NORTH BRISTOL NHS TRUST</t>
  </si>
  <si>
    <t>RA7</t>
  </si>
  <si>
    <t>UNIVERSITY HOSPITALS BRISTOL AND WESTON NHS FOUNDATION TRUST</t>
  </si>
  <si>
    <t>QVV</t>
  </si>
  <si>
    <t>RBD</t>
  </si>
  <si>
    <t>DORSET COUNTY HOSPITAL NHS FOUNDATION TRUST</t>
  </si>
  <si>
    <t>RDY</t>
  </si>
  <si>
    <t>DORSET HEALTHCARE UNIVERSITY NHS FOUNDATION TRUST</t>
  </si>
  <si>
    <t>R0D</t>
  </si>
  <si>
    <t>UNIVERSITY HOSPITALS DORSET NHS FOUNDATION TRUST</t>
  </si>
  <si>
    <t>Y59</t>
  </si>
  <si>
    <t>SOUTH EAST COMMISSIONING REGION</t>
  </si>
  <si>
    <t>QKS</t>
  </si>
  <si>
    <t>RN7</t>
  </si>
  <si>
    <t>DARTFORD AND GRAVESHAM NHS TRUST</t>
  </si>
  <si>
    <t>RVV</t>
  </si>
  <si>
    <t>EAST KENT HOSPITALS UNIVERSITY NHS FOUNDATION TRUST</t>
  </si>
  <si>
    <t>RXY</t>
  </si>
  <si>
    <t>KENT AND MEDWAY NHS AND SOCIAL CARE PARTNERSHIP TRUST</t>
  </si>
  <si>
    <t>RYY</t>
  </si>
  <si>
    <t>KENT COMMUNITY HEALTH NHS FOUNDATION TRUST</t>
  </si>
  <si>
    <t>RWF</t>
  </si>
  <si>
    <t>MAIDSTONE AND TUNBRIDGE WELLS NHS TRUST</t>
  </si>
  <si>
    <t>RPA</t>
  </si>
  <si>
    <t>MEDWAY NHS FOUNDATION TRUST</t>
  </si>
  <si>
    <t>QNQ</t>
  </si>
  <si>
    <t>RWX</t>
  </si>
  <si>
    <t>BERKSHIRE HEALTHCARE NHS FOUNDATION TRUST</t>
  </si>
  <si>
    <t>RDU</t>
  </si>
  <si>
    <t>FRIMLEY HEALTH NHS FOUNDATION TRUST</t>
  </si>
  <si>
    <t>QNX</t>
  </si>
  <si>
    <t>RXC</t>
  </si>
  <si>
    <t>EAST SUSSEX HEALTHCARE NHS TRUST</t>
  </si>
  <si>
    <t>RPC</t>
  </si>
  <si>
    <t>QUEEN VICTORIA HOSPITAL NHS FOUNDATION TRUST</t>
  </si>
  <si>
    <t>RYD</t>
  </si>
  <si>
    <t>SOUTH EAST COAST AMBULANCE SERVICE NHS FOUNDATION TRUST</t>
  </si>
  <si>
    <t>Ambulance Trusts</t>
  </si>
  <si>
    <t>RDR</t>
  </si>
  <si>
    <t>SUSSEX COMMUNITY NHS FOUNDATION TRUST</t>
  </si>
  <si>
    <t>RX2</t>
  </si>
  <si>
    <t>SUSSEX PARTNERSHIP NHS FOUNDATION TRUST</t>
  </si>
  <si>
    <t>RYR</t>
  </si>
  <si>
    <t>UNIVERSITY HOSPITALS SUSSEX NHS FOUNDATION TRUST</t>
  </si>
  <si>
    <t>QRL</t>
  </si>
  <si>
    <t>RN5</t>
  </si>
  <si>
    <t>HAMPSHIRE HOSPITALS NHS FOUNDATION TRUST</t>
  </si>
  <si>
    <t>R1F</t>
  </si>
  <si>
    <t>ISLE OF WIGHT NHS TRUST</t>
  </si>
  <si>
    <t>RHU</t>
  </si>
  <si>
    <t>PORTSMOUTH HOSPITALS UNIVERSITY NATIONAL HEALTH SERVICE TRUST</t>
  </si>
  <si>
    <t>R1C</t>
  </si>
  <si>
    <t>SOLENT NHS TRUST</t>
  </si>
  <si>
    <t>RW1</t>
  </si>
  <si>
    <t>SOUTHERN HEALTH NHS FOUNDATION TRUST</t>
  </si>
  <si>
    <t>RHM</t>
  </si>
  <si>
    <t>UNIVERSITY HOSPITAL SOUTHAMPTON NHS FOUNDATION TRUST</t>
  </si>
  <si>
    <t>QU9</t>
  </si>
  <si>
    <t>RXQ</t>
  </si>
  <si>
    <t>BUCKINGHAMSHIRE HEALTHCARE NHS TRUST</t>
  </si>
  <si>
    <t>RNU</t>
  </si>
  <si>
    <t>OXFORD HEALTH NHS FOUNDATION TRUST</t>
  </si>
  <si>
    <t>RTH</t>
  </si>
  <si>
    <t>OXFORD UNIVERSITY HOSPITALS NHS FOUNDATION TRUST</t>
  </si>
  <si>
    <t>RHW</t>
  </si>
  <si>
    <t>ROYAL BERKSHIRE NHS FOUNDATION TRUST</t>
  </si>
  <si>
    <t>RYE</t>
  </si>
  <si>
    <t>SOUTH CENTRAL AMBULANCE SERVICE NHS FOUNDATION TRUST</t>
  </si>
  <si>
    <t>Y60</t>
  </si>
  <si>
    <t>MIDLANDS COMMISSIONING REGION</t>
  </si>
  <si>
    <t>QGH</t>
  </si>
  <si>
    <t>R1A</t>
  </si>
  <si>
    <t>HEREFORDSHIRE AND WORCESTERSHIRE HEALTH AND CARE NHS TRUST</t>
  </si>
  <si>
    <t>RWP</t>
  </si>
  <si>
    <t>WORCESTERSHIRE ACUTE HOSPITALS NHS TRUST</t>
  </si>
  <si>
    <t>RLQ</t>
  </si>
  <si>
    <t>WYE VALLEY NHS TRUST</t>
  </si>
  <si>
    <t>QHL</t>
  </si>
  <si>
    <t>RYW</t>
  </si>
  <si>
    <t>BIRMINGHAM COMMUNITY HEALTHCARE NHS FOUNDATION TRUST</t>
  </si>
  <si>
    <t>RRJ</t>
  </si>
  <si>
    <t>THE ROYAL ORTHOPAEDIC HOSPITAL NHS FOUNDATION TRUST</t>
  </si>
  <si>
    <t>RRK</t>
  </si>
  <si>
    <t>UNIVERSITY HOSPITALS BIRMINGHAM NHS FOUNDATION TRUST</t>
  </si>
  <si>
    <t>QJ2</t>
  </si>
  <si>
    <t>RFS</t>
  </si>
  <si>
    <t>CHESTERFIELD ROYAL HOSPITAL NHS FOUNDATION TRUST</t>
  </si>
  <si>
    <t>RY8</t>
  </si>
  <si>
    <t>DERBYSHIRE COMMUNITY HEALTH SERVICES NHS FOUNDATION TRUST</t>
  </si>
  <si>
    <t>RXM</t>
  </si>
  <si>
    <t>DERBYSHIRE HEALTHCARE NHS FOUNDATION TRUST</t>
  </si>
  <si>
    <t>RTG</t>
  </si>
  <si>
    <t>UNIVERSITY HOSPITALS OF DERBY AND BURTON NHS FOUNDATION TRUST</t>
  </si>
  <si>
    <t>QJM</t>
  </si>
  <si>
    <t>RY5</t>
  </si>
  <si>
    <t>LINCOLNSHIRE COMMUNITY HEALTH SERVICES NHS TRUST</t>
  </si>
  <si>
    <t>RP7</t>
  </si>
  <si>
    <t>LINCOLNSHIRE PARTNERSHIP NHS FOUNDATION TRUST</t>
  </si>
  <si>
    <t>RWD</t>
  </si>
  <si>
    <t>UNITED LINCOLNSHIRE HOSPITALS NHS TRUST</t>
  </si>
  <si>
    <t>QK1</t>
  </si>
  <si>
    <t>RT5</t>
  </si>
  <si>
    <t>LEICESTERSHIRE PARTNERSHIP NHS TRUST</t>
  </si>
  <si>
    <t>RWE</t>
  </si>
  <si>
    <t>UNIVERSITY HOSPITALS OF LEICESTER NHS TRUST</t>
  </si>
  <si>
    <t>QNC</t>
  </si>
  <si>
    <t>RRE</t>
  </si>
  <si>
    <t>MIDLANDS PARTNERSHIP NHS FOUNDATION TRUST</t>
  </si>
  <si>
    <t>QOC</t>
  </si>
  <si>
    <t>R1D</t>
  </si>
  <si>
    <t>SHROPSHIRE COMMUNITY HEALTH NHS TRUST</t>
  </si>
  <si>
    <t>RL1</t>
  </si>
  <si>
    <t>THE ROBERT JONES AND AGNES HUNT ORTHOPAEDIC HOSPITAL NHS FOUNDATION TRUST</t>
  </si>
  <si>
    <t>RXW</t>
  </si>
  <si>
    <t>THE SHREWSBURY AND TELFORD HOSPITAL NHS TRUST</t>
  </si>
  <si>
    <t>QPM</t>
  </si>
  <si>
    <t>RNQ</t>
  </si>
  <si>
    <t>KETTERING GENERAL HOSPITAL NHS FOUNDATION TRUST</t>
  </si>
  <si>
    <t>RNS</t>
  </si>
  <si>
    <t>NORTHAMPTON GENERAL HOSPITAL NHS TRUST</t>
  </si>
  <si>
    <t>RP1</t>
  </si>
  <si>
    <t>NORTHAMPTONSHIRE HEALTHCARE NHS FOUNDATION TRUST</t>
  </si>
  <si>
    <t>QT1</t>
  </si>
  <si>
    <t>RX9</t>
  </si>
  <si>
    <t>EAST MIDLANDS AMBULANCE SERVICE NHS TRUST</t>
  </si>
  <si>
    <t>RX1</t>
  </si>
  <si>
    <t>NOTTINGHAM UNIVERSITY HOSPITALS NHS TRUST</t>
  </si>
  <si>
    <t>RHA</t>
  </si>
  <si>
    <t>NOTTINGHAMSHIRE HEALTHCARE NHS FOUNDATION TRUST</t>
  </si>
  <si>
    <t>RK5</t>
  </si>
  <si>
    <t>SHERWOOD FOREST HOSPITALS NHS FOUNDATION TRUST</t>
  </si>
  <si>
    <t>QUA</t>
  </si>
  <si>
    <t>RXT</t>
  </si>
  <si>
    <t>BIRMINGHAM AND SOLIHULL MENTAL HEALTH NHS FOUNDATION TRUST</t>
  </si>
  <si>
    <t>TAJ</t>
  </si>
  <si>
    <t>BLACK COUNTRY HEALTHCARE NHS FOUNDATION TRUST</t>
  </si>
  <si>
    <t>RYK</t>
  </si>
  <si>
    <t>DUDLEY INTEGRATED HEALTH AND CARE NHS TRUST</t>
  </si>
  <si>
    <t>RXK</t>
  </si>
  <si>
    <t>SANDWELL AND WEST BIRMINGHAM HOSPITALS NHS TRUST</t>
  </si>
  <si>
    <t>RNA</t>
  </si>
  <si>
    <t>THE DUDLEY GROUP NHS FOUNDATION TRUST</t>
  </si>
  <si>
    <t>RL4</t>
  </si>
  <si>
    <t>THE ROYAL WOLVERHAMPTON NHS TRUST</t>
  </si>
  <si>
    <t>RBK</t>
  </si>
  <si>
    <t>WALSALL HEALTHCARE NHS TRUST</t>
  </si>
  <si>
    <t>QWU</t>
  </si>
  <si>
    <t>RYG</t>
  </si>
  <si>
    <t>COVENTRY AND WARWICKSHIRE PARTNERSHIP NHS TRUST</t>
  </si>
  <si>
    <t>RLT</t>
  </si>
  <si>
    <t>GEORGE ELIOT HOSPITAL NHS TRUST</t>
  </si>
  <si>
    <t>RJC</t>
  </si>
  <si>
    <t>SOUTH WARWICKSHIRE NHS FOUNDATION TRUST</t>
  </si>
  <si>
    <t>RKB</t>
  </si>
  <si>
    <t>UNIVERSITY HOSPITALS COVENTRY AND WARWICKSHIRE NHS TRUST</t>
  </si>
  <si>
    <t>Y61</t>
  </si>
  <si>
    <t>EAST OF ENGLAND COMMISSIONING REGION</t>
  </si>
  <si>
    <t>QH8</t>
  </si>
  <si>
    <t>R1L</t>
  </si>
  <si>
    <t>ESSEX PARTNERSHIP UNIVERSITY NHS FOUNDATION TRUST</t>
  </si>
  <si>
    <t>QHG</t>
  </si>
  <si>
    <t>RD8</t>
  </si>
  <si>
    <t>MILTON KEYNES UNIVERSITY HOSPITAL NHS FOUNDATION TRUST</t>
  </si>
  <si>
    <t>QJG</t>
  </si>
  <si>
    <t>RDE</t>
  </si>
  <si>
    <t>EAST SUFFOLK AND NORTH ESSEX NHS FOUNDATION TRUST</t>
  </si>
  <si>
    <t>RGR</t>
  </si>
  <si>
    <t>WEST SUFFOLK NHS FOUNDATION TRUST</t>
  </si>
  <si>
    <t>QM7</t>
  </si>
  <si>
    <t>RWH</t>
  </si>
  <si>
    <t>EAST AND NORTH HERTFORDSHIRE NHS TRUST</t>
  </si>
  <si>
    <t>RY4</t>
  </si>
  <si>
    <t>HERTFORDSHIRE COMMUNITY NHS TRUST</t>
  </si>
  <si>
    <t>RWR</t>
  </si>
  <si>
    <t>HERTFORDSHIRE PARTNERSHIP UNIVERSITY NHS FOUNDATION TRUST</t>
  </si>
  <si>
    <t>RQW</t>
  </si>
  <si>
    <t>THE PRINCESS ALEXANDRA HOSPITAL NHS TRUST</t>
  </si>
  <si>
    <t>RWG</t>
  </si>
  <si>
    <t>WEST HERTFORDSHIRE TEACHING HOSPITALS NHS TRUST</t>
  </si>
  <si>
    <t>QMM</t>
  </si>
  <si>
    <t>RM1</t>
  </si>
  <si>
    <t>NORFOLK AND NORWICH UNIVERSITY HOSPITALS NHS FOUNDATION TRUST</t>
  </si>
  <si>
    <t>RMY</t>
  </si>
  <si>
    <t>NORFOLK AND SUFFOLK NHS FOUNDATION TRUST</t>
  </si>
  <si>
    <t>RY3</t>
  </si>
  <si>
    <t>NORFOLK COMMUNITY HEALTH AND CARE NHS TRUST</t>
  </si>
  <si>
    <t>RCX</t>
  </si>
  <si>
    <t>THE QUEEN ELIZABETH HOSPITAL, KING'S LYNN, NHS FOUNDATION TRUST</t>
  </si>
  <si>
    <t>QUE</t>
  </si>
  <si>
    <t>RGT</t>
  </si>
  <si>
    <t>CAMBRIDGE UNIVERSITY HOSPITALS NHS FOUNDATION TRUST</t>
  </si>
  <si>
    <t>RT1</t>
  </si>
  <si>
    <t>CAMBRIDGESHIRE AND PETERBOROUGH NHS FOUNDATION TRUST</t>
  </si>
  <si>
    <t>RYV</t>
  </si>
  <si>
    <t>CAMBRIDGESHIRE COMMUNITY SERVICES NHS TRUST</t>
  </si>
  <si>
    <t>RYC</t>
  </si>
  <si>
    <t>EAST OF ENGLAND AMBULANCE SERVICE NHS TRUST</t>
  </si>
  <si>
    <t>RGN</t>
  </si>
  <si>
    <t>NORTH WEST ANGLIA NHS FOUNDATION TRUST</t>
  </si>
  <si>
    <t>Y62</t>
  </si>
  <si>
    <t>NORTH WEST COMMISSIONING REGION</t>
  </si>
  <si>
    <t>QE1</t>
  </si>
  <si>
    <t>RXL</t>
  </si>
  <si>
    <t>BLACKPOOL TEACHING HOSPITALS NHS FOUNDATION TRUST</t>
  </si>
  <si>
    <t>RXR</t>
  </si>
  <si>
    <t>EAST LANCASHIRE HOSPITALS NHS TRUST</t>
  </si>
  <si>
    <t>RW5</t>
  </si>
  <si>
    <t>LANCASHIRE &amp; SOUTH CUMBRIA NHS FOUNDATION TRUST</t>
  </si>
  <si>
    <t>RXN</t>
  </si>
  <si>
    <t>LANCASHIRE TEACHING HOSPITALS NHS FOUNDATION TRUST</t>
  </si>
  <si>
    <t>RTX</t>
  </si>
  <si>
    <t>UNIVERSITY HOSPITALS OF MORECAMBE BAY NHS FOUNDATION TRUST</t>
  </si>
  <si>
    <t>QOP</t>
  </si>
  <si>
    <t>RMC</t>
  </si>
  <si>
    <t>BOLTON NHS FOUNDATION TRUST</t>
  </si>
  <si>
    <t>RXV</t>
  </si>
  <si>
    <t>GREATER MANCHESTER MENTAL HEALTH NHS FOUNDATION TRUST</t>
  </si>
  <si>
    <t>R0A</t>
  </si>
  <si>
    <t>MANCHESTER UNIVERSITY NHS FOUNDATION TRUST</t>
  </si>
  <si>
    <t>RX7</t>
  </si>
  <si>
    <t>NORTH WEST AMBULANCE SERVICE NHS TRUST</t>
  </si>
  <si>
    <t>RM3</t>
  </si>
  <si>
    <t>NORTHERN CARE ALLIANCE NHS FOUNDATION TRUST</t>
  </si>
  <si>
    <t>RT2</t>
  </si>
  <si>
    <t>PENNINE CARE NHS FOUNDATION TRUST</t>
  </si>
  <si>
    <t>RMP</t>
  </si>
  <si>
    <t>TAMESIDE AND GLOSSOP INTEGRATED CARE NHS FOUNDATION TRUST</t>
  </si>
  <si>
    <t>RBV</t>
  </si>
  <si>
    <t>THE CHRISTIE NHS FOUNDATION TRUST</t>
  </si>
  <si>
    <t>RRF</t>
  </si>
  <si>
    <t>WRIGHTINGTON, WIGAN AND LEIGH NHS FOUNDATION TRUST</t>
  </si>
  <si>
    <t>QYG</t>
  </si>
  <si>
    <t>RBS</t>
  </si>
  <si>
    <t>ALDER HEY CHILDREN'S NHS FOUNDATION TRUST</t>
  </si>
  <si>
    <t>RY2</t>
  </si>
  <si>
    <t>BRIDGEWATER COMMUNITY HEALTHCARE NHS FOUNDATION TRUST</t>
  </si>
  <si>
    <t>RXA</t>
  </si>
  <si>
    <t>CHESHIRE AND WIRRAL PARTNERSHIP NHS FOUNDATION TRUST</t>
  </si>
  <si>
    <t>RJR</t>
  </si>
  <si>
    <t>COUNTESS OF CHESTER HOSPITAL NHS FOUNDATION TRUST</t>
  </si>
  <si>
    <t>RJN</t>
  </si>
  <si>
    <t>EAST CHESHIRE NHS TRUST</t>
  </si>
  <si>
    <t>RBQ</t>
  </si>
  <si>
    <t>LIVERPOOL HEART AND CHEST HOSPITAL NHS FOUNDATION TRUST</t>
  </si>
  <si>
    <t>REM</t>
  </si>
  <si>
    <t>LIVERPOOL UNIVERSITY HOSPITALS NHS FOUNDATION TRUST</t>
  </si>
  <si>
    <t>REP</t>
  </si>
  <si>
    <t>LIVERPOOL WOMEN'S NHS FOUNDATION TRUST</t>
  </si>
  <si>
    <t>RW4</t>
  </si>
  <si>
    <t>MERSEY CARE NHS FOUNDATION TRUST</t>
  </si>
  <si>
    <t>RBT</t>
  </si>
  <si>
    <t>MID CHESHIRE HOSPITALS NHS FOUNDATION TRUST</t>
  </si>
  <si>
    <t>RVY</t>
  </si>
  <si>
    <t>SOUTHPORT AND ORMSKIRK HOSPITAL NHS TRUST</t>
  </si>
  <si>
    <t>RBN</t>
  </si>
  <si>
    <t>ST HELENS AND KNOWSLEY TEACHING HOSPITALS NHS TRUST</t>
  </si>
  <si>
    <t>REN</t>
  </si>
  <si>
    <t>THE CLATTERBRIDGE CANCER CENTRE NHS FOUNDATION TRUST</t>
  </si>
  <si>
    <t>RET</t>
  </si>
  <si>
    <t>THE WALTON CENTRE NHS FOUNDATION TRUST</t>
  </si>
  <si>
    <t>RWW</t>
  </si>
  <si>
    <t>WARRINGTON AND HALTON TEACHING HOSPITALS NHS FOUNDATION TRUST</t>
  </si>
  <si>
    <t>RY7</t>
  </si>
  <si>
    <t>WIRRAL COMMUNITY HEALTH AND CARE NHS FOUNDATION TRUST</t>
  </si>
  <si>
    <t>RBL</t>
  </si>
  <si>
    <t>WIRRAL UNIVERSITY TEACHING HOSPITAL NHS FOUNDATION TRUST</t>
  </si>
  <si>
    <t>Y63</t>
  </si>
  <si>
    <t>NORTH EAST AND YORKSHIRE COMMISSIONING REGION</t>
  </si>
  <si>
    <t>QF7</t>
  </si>
  <si>
    <t>RFF</t>
  </si>
  <si>
    <t>BARNSLEY HOSPITAL NHS FOUNDATION TRUST</t>
  </si>
  <si>
    <t>RP5</t>
  </si>
  <si>
    <t>DONCASTER AND BASSETLAW TEACHING HOSPITALS NHS FOUNDATION TRUST</t>
  </si>
  <si>
    <t>RXE</t>
  </si>
  <si>
    <t>ROTHERHAM DONCASTER AND SOUTH HUMBER NHS FOUNDATION TRUST</t>
  </si>
  <si>
    <t>RCU</t>
  </si>
  <si>
    <t>SHEFFIELD CHILDREN'S NHS FOUNDATION TRUST</t>
  </si>
  <si>
    <t>TAH</t>
  </si>
  <si>
    <t>SHEFFIELD HEALTH &amp; SOCIAL CARE NHS FOUNDATION TRUST</t>
  </si>
  <si>
    <t>RHQ</t>
  </si>
  <si>
    <t>SHEFFIELD TEACHING HOSPITALS NHS FOUNDATION TRUST</t>
  </si>
  <si>
    <t>RFR</t>
  </si>
  <si>
    <t>THE ROTHERHAM NHS FOUNDATION TRUST</t>
  </si>
  <si>
    <t>QHM</t>
  </si>
  <si>
    <t>RXP</t>
  </si>
  <si>
    <t>COUNTY DURHAM AND DARLINGTON NHS FOUNDATION TRUST</t>
  </si>
  <si>
    <t>RX4</t>
  </si>
  <si>
    <t>CUMBRIA, NORTHUMBERLAND, TYNE AND WEAR NHS FOUNDATION TRUST</t>
  </si>
  <si>
    <t>RR7</t>
  </si>
  <si>
    <t>GATESHEAD HEALTH NHS FOUNDATION TRUST</t>
  </si>
  <si>
    <t>RNN</t>
  </si>
  <si>
    <t>NORTH CUMBRIA INTEGRATED CARE NHS FOUNDATION TRUST</t>
  </si>
  <si>
    <t>RX6</t>
  </si>
  <si>
    <t>NORTH EAST AMBULANCE SERVICE NHS FOUNDATION TRUST</t>
  </si>
  <si>
    <t>RVW</t>
  </si>
  <si>
    <t>NORTH TEES AND HARTLEPOOL NHS FOUNDATION TRUST</t>
  </si>
  <si>
    <t>RTF</t>
  </si>
  <si>
    <t>NORTHUMBRIA HEALTHCARE NHS FOUNDATION TRUST</t>
  </si>
  <si>
    <t>RTR</t>
  </si>
  <si>
    <t>SOUTH TEES HOSPITALS NHS FOUNDATION TRUST</t>
  </si>
  <si>
    <t>R0B</t>
  </si>
  <si>
    <t>SOUTH TYNESIDE AND SUNDERLAND NHS FOUNDATION TRUST</t>
  </si>
  <si>
    <t>RX3</t>
  </si>
  <si>
    <t>TEES, ESK AND WEAR VALLEYS NHS FOUNDATION TRUST</t>
  </si>
  <si>
    <t>RTD</t>
  </si>
  <si>
    <t>THE NEWCASTLE UPON TYNE HOSPITALS NHS FOUNDATION TRUST</t>
  </si>
  <si>
    <t>QOQ</t>
  </si>
  <si>
    <t>RCD</t>
  </si>
  <si>
    <t>HARROGATE AND DISTRICT NHS FOUNDATION TRUST</t>
  </si>
  <si>
    <t>RWA</t>
  </si>
  <si>
    <t>HULL UNIVERSITY TEACHING HOSPITALS NHS TRUST</t>
  </si>
  <si>
    <t>RV9</t>
  </si>
  <si>
    <t>HUMBER TEACHING NHS FOUNDATION TRUST</t>
  </si>
  <si>
    <t>RJL</t>
  </si>
  <si>
    <t>NORTHERN LINCOLNSHIRE AND GOOLE NHS FOUNDATION TRUST</t>
  </si>
  <si>
    <t>RCB</t>
  </si>
  <si>
    <t>YORK AND SCARBOROUGH TEACHING HOSPITALS NHS FOUNDATION TRUST</t>
  </si>
  <si>
    <t>QWO</t>
  </si>
  <si>
    <t>RCF</t>
  </si>
  <si>
    <t>AIREDALE NHS FOUNDATION TRUST</t>
  </si>
  <si>
    <t>TAD</t>
  </si>
  <si>
    <t>BRADFORD DISTRICT CARE NHS FOUNDATION TRUST</t>
  </si>
  <si>
    <t>RAE</t>
  </si>
  <si>
    <t>BRADFORD TEACHING HOSPITALS NHS FOUNDATION TRUST</t>
  </si>
  <si>
    <t>RWY</t>
  </si>
  <si>
    <t>CALDERDALE AND HUDDERSFIELD NHS FOUNDATION TRUST</t>
  </si>
  <si>
    <t>RGD</t>
  </si>
  <si>
    <t>LEEDS AND YORK PARTNERSHIP NHS FOUNDATION TRUST</t>
  </si>
  <si>
    <t>RY6</t>
  </si>
  <si>
    <t>LEEDS COMMUNITY HEALTHCARE NHS TRUST</t>
  </si>
  <si>
    <t>RXF</t>
  </si>
  <si>
    <t>MID YORKSHIRE HOSPITALS NHS TRUST</t>
  </si>
  <si>
    <t>RXG</t>
  </si>
  <si>
    <t>SOUTH WEST YORKSHIRE PARTNERSHIP NHS FOUNDATION TRUST</t>
  </si>
  <si>
    <t>RX8</t>
  </si>
  <si>
    <t>YORKSHIRE AMBULANCE SERVICE NHS TRUST</t>
  </si>
  <si>
    <t>NHS SOUTH EAST LONDON INTEGRATED CARE BOARD</t>
  </si>
  <si>
    <t>NHS NORTH EAST LONDON INTEGRATED CARE BOARD</t>
  </si>
  <si>
    <t>NHS NORTH CENTRAL LONDON INTEGRATED CARE BOARD</t>
  </si>
  <si>
    <t>NHS NORTH WEST LONDON INTEGRATED CARE BOARD</t>
  </si>
  <si>
    <t>NHS SOUTH WEST LONDON INTEGRATED CARE BOARD</t>
  </si>
  <si>
    <t>NHS DEVON INTEGRATED CARE BOARD</t>
  </si>
  <si>
    <t>NHS BATH AND NORTH EAST SOMERSET, SWINDON AND WILTSHIRE INTEGRATED CARE BOARD</t>
  </si>
  <si>
    <t>NHS GLOUCESTERSHIRE INTEGRATED CARE BOARD</t>
  </si>
  <si>
    <t>NHS SOMERSET INTEGRATED CARE BOARD</t>
  </si>
  <si>
    <t>NHS CORNWALL AND THE ISLES OF SCILLY INTEGRATED CARE BOARD</t>
  </si>
  <si>
    <t>NHS BRISTOL, NORTH SOMERSET AND SOUTH GLOUCESTERSHIRE INTEGRATED CARE BOARD</t>
  </si>
  <si>
    <t>NHS DORSET INTEGRATED CARE BOARD</t>
  </si>
  <si>
    <t>NHS KENT AND MEDWAY INTEGRATED CARE BOARD</t>
  </si>
  <si>
    <t>NHS FRIMLEY INTEGRATED CARE BOARD</t>
  </si>
  <si>
    <t>NHS SUSSEX INTEGRATED CARE BOARD</t>
  </si>
  <si>
    <t>NHS HAMPSHIRE AND ISLE OF WIGHT INTEGRATED CARE BOARD</t>
  </si>
  <si>
    <t>NHS BUCKINGHAMSHIRE, OXFORDSHIRE AND BERKSHIRE WEST INTEGRATED CARE BOARD</t>
  </si>
  <si>
    <t>NHS HEREFORDSHIRE AND WORCESTERSHIRE INTEGRATED CARE BOARD</t>
  </si>
  <si>
    <t>NHS BIRMINGHAM AND SOLIHULL INTEGRATED CARE BOARD</t>
  </si>
  <si>
    <t>NHS DERBY AND DERBYSHIRE INTEGRATED CARE BOARD</t>
  </si>
  <si>
    <t>NHS LINCOLNSHIRE INTEGRATED CARE BOARD</t>
  </si>
  <si>
    <t>NHS LEICESTER, LEICESTERSHIRE AND RUTLAND INTEGRATED CARE BOARD</t>
  </si>
  <si>
    <t>NHS STAFFORDSHIRE AND STOKE-ON-TRENT INTEGRATED CARE BOARD</t>
  </si>
  <si>
    <t>NHS SHROPSHIRE, TELFORD AND WREKIN INTEGRATED CARE BOARD</t>
  </si>
  <si>
    <t>NHS NORTHAMPTONSHIRE INTEGRATED CARE BOARD</t>
  </si>
  <si>
    <t>NHS NOTTINGHAM AND NOTTINGHAMSHIRE INTEGRATED CARE BOARD</t>
  </si>
  <si>
    <t>NHS BLACK COUNTRY INTEGRATED CARE BOARD</t>
  </si>
  <si>
    <t>NHS COVENTRY AND WARWICKSHIRE INTEGRATED CARE BOARD</t>
  </si>
  <si>
    <t>NHS MID AND SOUTH ESSEX INTEGRATED CARE BOARD</t>
  </si>
  <si>
    <t>NHS BEDFORDSHIRE, LUTON AND MILTON KEYNES INTEGRATED CARE BOARD</t>
  </si>
  <si>
    <t>NHS SUFFOLK AND NORTH EAST ESSEX INTEGRATED CARE BOARD</t>
  </si>
  <si>
    <t>NHS HERTFORDSHIRE AND WEST ESSEX INTEGRATED CARE BOARD</t>
  </si>
  <si>
    <t>NHS NORFOLK AND WAVENEY INTEGRATED CARE BOARD</t>
  </si>
  <si>
    <t>NHS CAMBRIDGESHIRE AND PETERBOROUGH INTEGRATED CARE BOARD</t>
  </si>
  <si>
    <t>NHS LANCASHIRE AND SOUTH CUMBRIA INTEGRATED CARE BOARD</t>
  </si>
  <si>
    <t>NHS GREATER MANCHESTER INTEGRATED CARE BOARD</t>
  </si>
  <si>
    <t>NHS CHESHIRE AND MERSEYSIDE INTEGRATED CARE BOARD</t>
  </si>
  <si>
    <t>NHS SOUTH YORKSHIRE INTEGRATED CARE BOARD</t>
  </si>
  <si>
    <t>NHS NORTH EAST AND NORTH CUMBRIA INTEGRATED CARE BOARD</t>
  </si>
  <si>
    <t>NHS HUMBER AND NORTH YORKSHIRE INTEGRATED CARE BOARD</t>
  </si>
  <si>
    <t>NHS WEST YORKSHIRE INTEGRATED CARE BOARD</t>
  </si>
  <si>
    <t>Advocacy Score</t>
  </si>
  <si>
    <t>Involvement Score</t>
  </si>
  <si>
    <t>Motivation Score</t>
  </si>
  <si>
    <t>Sort</t>
  </si>
  <si>
    <t>Region (Geography) code</t>
  </si>
  <si>
    <t>Region (Geography) name</t>
  </si>
  <si>
    <t>Org code</t>
  </si>
  <si>
    <t>Org name</t>
  </si>
  <si>
    <t>Org Type</t>
  </si>
  <si>
    <t>Sort Lists:</t>
  </si>
  <si>
    <t>Sort range…</t>
  </si>
  <si>
    <t>Region (Geography) Reference Lists:</t>
  </si>
  <si>
    <t>Code…</t>
  </si>
  <si>
    <t>Name…</t>
  </si>
  <si>
    <t>Region (Geography) Linked Lists:</t>
  </si>
  <si>
    <t>STP Reference List:</t>
  </si>
  <si>
    <t>STP Linked List:</t>
  </si>
  <si>
    <t>Orgs Reference List:</t>
  </si>
  <si>
    <t>Type…</t>
  </si>
  <si>
    <t>Orgs Linked List:</t>
  </si>
  <si>
    <t>Org Type Reference List:</t>
  </si>
  <si>
    <t>Org Type Linked List:</t>
  </si>
  <si>
    <t>Engagement Score Breakdown</t>
  </si>
  <si>
    <t>Acute</t>
  </si>
  <si>
    <t>All Engagement Scores</t>
  </si>
  <si>
    <t>Mental Health</t>
  </si>
  <si>
    <t>Ambulance</t>
  </si>
  <si>
    <t>Community</t>
  </si>
  <si>
    <t>QXU</t>
  </si>
  <si>
    <t>NHS SURREY HEARTLANDS INTEGRATED CARE 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</si>
</sst>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
  </numFmts>
  <fonts count="16">
    <font>
      <sz val="10"/>
      <name val="Arial"/>
      <family val="2"/>
    </font>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6"/>
      <name val="Arial"/>
      <family val="2"/>
    </font>
    <font>
      <sz val="14"/>
      <color theme="1"/>
      <name val="Calibri"/>
      <family val="2"/>
      <scheme val="minor"/>
    </font>
    <font>
      <sz val="12"/>
      <name val="Arial"/>
      <family val="2"/>
    </font>
    <font>
      <sz val="11"/>
      <name val="Calibri"/>
      <family val="2"/>
      <scheme val="minor"/>
    </font>
    <font>
      <b/>
      <u/>
      <sz val="11"/>
      <color theme="1"/>
      <name val="Calibri"/>
      <family val="2"/>
      <scheme val="minor"/>
    </font>
    <font>
      <sz val="11"/>
      <name val="Arial"/>
      <family val="2"/>
    </font>
    <font>
      <b/>
      <u/>
      <sz val="14"/>
      <color theme="1"/>
      <name val="Calibri"/>
      <family val="2"/>
      <scheme val="minor"/>
    </font>
    <font>
      <sz val="9"/>
      <name val="Verdana"/>
      <family val="2"/>
    </font>
    <font>
      <b/>
      <sz val="9"/>
      <color theme="1"/>
      <name val="Verdana"/>
      <family val="2"/>
    </font>
    <font>
      <b/>
      <sz val="10"/>
      <name val="Verdana"/>
      <family val="2"/>
    </font>
    <font>
      <sz val="10"/>
      <name val="Verdana"/>
      <family val="2"/>
    </font>
  </fonts>
  <fills count="9">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indexed="22"/>
        <bgColor indexed="64"/>
      </patternFill>
    </fill>
    <fill>
      <patternFill patternType="solid">
        <fgColor rgb="FFC0C0C0"/>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2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auto="1"/>
      </left>
      <right style="thin">
        <color auto="1"/>
      </right>
      <top style="dotted">
        <color auto="1"/>
      </top>
      <bottom style="dotted">
        <color auto="1"/>
      </bottom>
      <diagonal/>
    </border>
    <border>
      <left style="thin">
        <color indexed="64"/>
      </left>
      <right style="thin">
        <color indexed="64"/>
      </right>
      <top/>
      <bottom/>
      <diagonal/>
    </border>
    <border>
      <left style="thin">
        <color auto="1"/>
      </left>
      <right style="thin">
        <color auto="1"/>
      </right>
      <top style="dotted">
        <color auto="1"/>
      </top>
      <bottom style="thin">
        <color auto="1"/>
      </bottom>
      <diagonal/>
    </border>
    <border>
      <left style="thin">
        <color auto="1"/>
      </left>
      <right style="thin">
        <color indexed="64"/>
      </right>
      <top style="dotted">
        <color auto="1"/>
      </top>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indexed="64"/>
      </right>
      <top style="thin">
        <color auto="1"/>
      </top>
      <bottom style="hair">
        <color auto="1"/>
      </bottom>
      <diagonal/>
    </border>
    <border>
      <left style="thin">
        <color auto="1"/>
      </left>
      <right style="thin">
        <color auto="1"/>
      </right>
      <top style="thin">
        <color indexed="64"/>
      </top>
      <bottom style="dotted">
        <color auto="1"/>
      </bottom>
      <diagonal/>
    </border>
    <border>
      <left style="thin">
        <color indexed="64"/>
      </left>
      <right style="thin">
        <color indexed="64"/>
      </right>
      <top style="thin">
        <color indexed="64"/>
      </top>
      <bottom style="hair">
        <color indexed="64"/>
      </bottom>
      <diagonal/>
    </border>
  </borders>
  <cellStyleXfs count="10">
    <xf numFmtId="0" fontId="0"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xf numFmtId="0" fontId="4" fillId="0" borderId="0"/>
    <xf numFmtId="0" fontId="1" fillId="0" borderId="0"/>
  </cellStyleXfs>
  <cellXfs count="112">
    <xf numFmtId="0" fontId="0" fillId="0" borderId="0" xfId="0"/>
    <xf numFmtId="0" fontId="2" fillId="2" borderId="0" xfId="1" applyFill="1"/>
    <xf numFmtId="0" fontId="5" fillId="2" borderId="0" xfId="0" applyFont="1" applyFill="1" applyAlignment="1">
      <alignment vertical="center"/>
    </xf>
    <xf numFmtId="0" fontId="2" fillId="2" borderId="0" xfId="1" applyFill="1" applyAlignment="1">
      <alignment vertical="center"/>
    </xf>
    <xf numFmtId="0" fontId="6" fillId="3" borderId="1" xfId="2" applyFont="1" applyFill="1" applyBorder="1" applyAlignment="1">
      <alignment vertical="center"/>
    </xf>
    <xf numFmtId="0" fontId="1" fillId="3" borderId="2" xfId="2" applyFill="1" applyBorder="1"/>
    <xf numFmtId="0" fontId="1" fillId="3" borderId="3" xfId="2" applyFill="1" applyBorder="1"/>
    <xf numFmtId="0" fontId="7" fillId="2" borderId="0" xfId="0" applyFont="1" applyFill="1"/>
    <xf numFmtId="0" fontId="0" fillId="2" borderId="0" xfId="0" applyFill="1"/>
    <xf numFmtId="0" fontId="8" fillId="3" borderId="0" xfId="3" applyFont="1" applyFill="1"/>
    <xf numFmtId="9" fontId="8" fillId="3" borderId="0" xfId="4" applyFont="1" applyFill="1" applyBorder="1"/>
    <xf numFmtId="0" fontId="9" fillId="3" borderId="0" xfId="0" applyFont="1" applyFill="1" applyAlignment="1">
      <alignment vertical="top"/>
    </xf>
    <xf numFmtId="0" fontId="0" fillId="3" borderId="0" xfId="0" applyFill="1"/>
    <xf numFmtId="0" fontId="10" fillId="3" borderId="0" xfId="0" applyFont="1" applyFill="1" applyAlignment="1">
      <alignment wrapText="1"/>
    </xf>
    <xf numFmtId="0" fontId="8" fillId="3" borderId="0" xfId="3" applyFont="1" applyFill="1" applyAlignment="1">
      <alignment wrapText="1"/>
    </xf>
    <xf numFmtId="0" fontId="10" fillId="3" borderId="0" xfId="0" applyFont="1" applyFill="1"/>
    <xf numFmtId="0" fontId="11" fillId="3" borderId="0" xfId="0" applyFont="1" applyFill="1" applyAlignment="1">
      <alignment vertical="top"/>
    </xf>
    <xf numFmtId="0" fontId="0" fillId="3" borderId="0" xfId="0" applyFill="1" applyAlignment="1">
      <alignment vertical="top" wrapText="1"/>
    </xf>
    <xf numFmtId="0" fontId="9" fillId="3" borderId="0" xfId="0" applyFont="1" applyFill="1" applyAlignment="1">
      <alignment horizontal="left" vertical="top"/>
    </xf>
    <xf numFmtId="0" fontId="0" fillId="3" borderId="0" xfId="0" applyFill="1" applyAlignment="1">
      <alignment vertical="top"/>
    </xf>
    <xf numFmtId="0" fontId="12" fillId="4" borderId="4" xfId="0" applyFont="1" applyFill="1" applyBorder="1" applyAlignment="1">
      <alignment horizontal="left" vertical="center" wrapText="1"/>
    </xf>
    <xf numFmtId="0" fontId="12" fillId="4" borderId="8" xfId="0" applyFont="1" applyFill="1" applyBorder="1" applyAlignment="1">
      <alignment horizontal="left" vertical="center" wrapText="1"/>
    </xf>
    <xf numFmtId="0" fontId="13" fillId="4" borderId="9" xfId="0" applyFont="1" applyFill="1" applyBorder="1" applyAlignment="1">
      <alignment horizontal="center" vertical="center" wrapText="1"/>
    </xf>
    <xf numFmtId="0" fontId="3" fillId="0" borderId="9" xfId="0" applyFont="1" applyBorder="1" applyAlignment="1">
      <alignment horizontal="left" vertical="center" wrapText="1"/>
    </xf>
    <xf numFmtId="3" fontId="3" fillId="0" borderId="9" xfId="0" applyNumberFormat="1" applyFont="1" applyBorder="1" applyAlignment="1">
      <alignment horizontal="center" vertical="center"/>
    </xf>
    <xf numFmtId="0" fontId="0" fillId="0" borderId="10" xfId="0" applyBorder="1" applyAlignment="1">
      <alignment horizontal="left" vertical="center" wrapText="1"/>
    </xf>
    <xf numFmtId="3" fontId="0" fillId="0" borderId="10" xfId="0" applyNumberFormat="1" applyBorder="1" applyAlignment="1">
      <alignment horizontal="center" vertical="center"/>
    </xf>
    <xf numFmtId="0" fontId="0" fillId="0" borderId="11" xfId="0" applyBorder="1" applyAlignment="1">
      <alignment horizontal="left" vertical="center" wrapText="1"/>
    </xf>
    <xf numFmtId="3" fontId="0" fillId="0" borderId="11" xfId="0" applyNumberFormat="1" applyBorder="1" applyAlignment="1">
      <alignment horizontal="center" vertical="center"/>
    </xf>
    <xf numFmtId="0" fontId="0" fillId="5" borderId="12" xfId="0" applyFill="1" applyBorder="1" applyAlignment="1">
      <alignment horizontal="left" vertical="center" wrapText="1"/>
    </xf>
    <xf numFmtId="3" fontId="0" fillId="5" borderId="12" xfId="0" applyNumberFormat="1" applyFill="1" applyBorder="1" applyAlignment="1">
      <alignment horizontal="center" vertical="center"/>
    </xf>
    <xf numFmtId="0" fontId="0" fillId="5" borderId="12" xfId="0" applyFill="1" applyBorder="1" applyAlignment="1">
      <alignment horizontal="center" vertical="center"/>
    </xf>
    <xf numFmtId="0" fontId="0" fillId="0" borderId="13" xfId="0" applyBorder="1" applyAlignment="1">
      <alignment horizontal="left" vertical="center" wrapText="1"/>
    </xf>
    <xf numFmtId="3" fontId="0" fillId="0" borderId="13" xfId="0" applyNumberFormat="1" applyBorder="1" applyAlignment="1">
      <alignment horizontal="center" vertical="center"/>
    </xf>
    <xf numFmtId="0" fontId="0" fillId="0" borderId="14" xfId="0" applyBorder="1" applyAlignment="1">
      <alignment horizontal="left" vertical="center" wrapText="1"/>
    </xf>
    <xf numFmtId="0" fontId="0" fillId="2" borderId="10" xfId="0" applyFill="1" applyBorder="1" applyAlignment="1">
      <alignment horizontal="left" vertical="center" wrapText="1"/>
    </xf>
    <xf numFmtId="3" fontId="0" fillId="2" borderId="10" xfId="0" applyNumberFormat="1" applyFill="1" applyBorder="1" applyAlignment="1">
      <alignment horizontal="center" vertical="center"/>
    </xf>
    <xf numFmtId="0" fontId="0" fillId="2" borderId="11" xfId="0" applyFill="1" applyBorder="1" applyAlignment="1">
      <alignment horizontal="left" vertical="center" wrapText="1"/>
    </xf>
    <xf numFmtId="3" fontId="0" fillId="2" borderId="11" xfId="0" applyNumberFormat="1" applyFill="1" applyBorder="1" applyAlignment="1">
      <alignment horizontal="center" vertical="center"/>
    </xf>
    <xf numFmtId="0" fontId="0" fillId="2" borderId="14" xfId="0" applyFill="1" applyBorder="1" applyAlignment="1">
      <alignment vertical="top" wrapText="1"/>
    </xf>
    <xf numFmtId="0" fontId="0" fillId="2" borderId="13" xfId="0" applyFill="1" applyBorder="1" applyAlignment="1">
      <alignment vertical="top" wrapText="1"/>
    </xf>
    <xf numFmtId="3" fontId="0" fillId="2" borderId="13" xfId="0" applyNumberFormat="1" applyFill="1" applyBorder="1" applyAlignment="1">
      <alignment horizontal="center" vertical="center"/>
    </xf>
    <xf numFmtId="3" fontId="0" fillId="3" borderId="0" xfId="0" applyNumberFormat="1" applyFill="1" applyAlignment="1">
      <alignment horizontal="center" vertical="center"/>
    </xf>
    <xf numFmtId="165" fontId="0" fillId="3" borderId="0" xfId="0" applyNumberFormat="1" applyFill="1" applyAlignment="1">
      <alignment horizontal="center" vertical="center"/>
    </xf>
    <xf numFmtId="0" fontId="8" fillId="3" borderId="0" xfId="5" applyFont="1" applyFill="1"/>
    <xf numFmtId="0" fontId="8" fillId="3" borderId="0" xfId="0" applyFont="1" applyFill="1"/>
    <xf numFmtId="0" fontId="8" fillId="3" borderId="0" xfId="5" applyFont="1" applyFill="1" applyAlignment="1">
      <alignment horizontal="left"/>
    </xf>
    <xf numFmtId="9" fontId="8" fillId="3" borderId="0" xfId="6" applyFont="1" applyFill="1" applyBorder="1" applyAlignment="1">
      <alignment vertical="center"/>
    </xf>
    <xf numFmtId="0" fontId="8" fillId="3" borderId="0" xfId="5" applyFont="1" applyFill="1" applyAlignment="1">
      <alignment horizontal="right"/>
    </xf>
    <xf numFmtId="0" fontId="15" fillId="3" borderId="0" xfId="5" applyFont="1" applyFill="1"/>
    <xf numFmtId="0" fontId="14" fillId="2" borderId="15" xfId="5" applyFont="1" applyFill="1" applyBorder="1"/>
    <xf numFmtId="0" fontId="14" fillId="2" borderId="16" xfId="5" applyFont="1" applyFill="1" applyBorder="1"/>
    <xf numFmtId="0" fontId="14" fillId="2" borderId="17" xfId="5" applyFont="1" applyFill="1" applyBorder="1"/>
    <xf numFmtId="3" fontId="14" fillId="2" borderId="9" xfId="7" applyNumberFormat="1" applyFont="1" applyFill="1" applyBorder="1" applyAlignment="1">
      <alignment horizontal="right" vertical="center" wrapText="1"/>
    </xf>
    <xf numFmtId="0" fontId="14" fillId="3" borderId="0" xfId="5" applyFont="1" applyFill="1"/>
    <xf numFmtId="0" fontId="0" fillId="7" borderId="18" xfId="0" applyFill="1" applyBorder="1"/>
    <xf numFmtId="0" fontId="0" fillId="7" borderId="11" xfId="0" applyFill="1" applyBorder="1"/>
    <xf numFmtId="0" fontId="0" fillId="7" borderId="13" xfId="0" applyFill="1" applyBorder="1"/>
    <xf numFmtId="3" fontId="14" fillId="0" borderId="19" xfId="5" applyNumberFormat="1" applyFont="1" applyBorder="1" applyAlignment="1">
      <alignment horizontal="center"/>
    </xf>
    <xf numFmtId="0" fontId="14" fillId="2" borderId="16" xfId="5" applyFont="1" applyFill="1" applyBorder="1" applyAlignment="1">
      <alignment horizontal="right"/>
    </xf>
    <xf numFmtId="0" fontId="14" fillId="2" borderId="0" xfId="5" applyFont="1" applyFill="1" applyAlignment="1">
      <alignment horizontal="right"/>
    </xf>
    <xf numFmtId="0" fontId="0" fillId="8" borderId="9" xfId="0" applyFill="1" applyBorder="1"/>
    <xf numFmtId="0" fontId="0" fillId="8" borderId="0" xfId="0" applyFill="1"/>
    <xf numFmtId="0" fontId="0" fillId="0" borderId="9" xfId="0" applyBorder="1"/>
    <xf numFmtId="2" fontId="14" fillId="7" borderId="18" xfId="8" applyNumberFormat="1" applyFont="1" applyFill="1" applyBorder="1" applyAlignment="1">
      <alignment horizontal="center"/>
    </xf>
    <xf numFmtId="2" fontId="14" fillId="7" borderId="11" xfId="8" applyNumberFormat="1" applyFont="1" applyFill="1" applyBorder="1" applyAlignment="1">
      <alignment horizontal="center"/>
    </xf>
    <xf numFmtId="2" fontId="14" fillId="7" borderId="13" xfId="8" applyNumberFormat="1" applyFont="1" applyFill="1" applyBorder="1" applyAlignment="1">
      <alignment horizontal="center"/>
    </xf>
    <xf numFmtId="2" fontId="8" fillId="3" borderId="0" xfId="5" applyNumberFormat="1" applyFont="1" applyFill="1" applyAlignment="1">
      <alignment horizontal="center" vertical="center"/>
    </xf>
    <xf numFmtId="2" fontId="0" fillId="3" borderId="0" xfId="0" applyNumberFormat="1" applyFill="1" applyAlignment="1">
      <alignment horizontal="center" vertical="center"/>
    </xf>
    <xf numFmtId="2" fontId="14" fillId="0" borderId="19" xfId="5" applyNumberFormat="1" applyFont="1" applyBorder="1" applyAlignment="1">
      <alignment horizontal="center"/>
    </xf>
    <xf numFmtId="2" fontId="14" fillId="7" borderId="18" xfId="0" applyNumberFormat="1" applyFont="1" applyFill="1" applyBorder="1" applyAlignment="1">
      <alignment horizontal="right" vertical="center" wrapText="1"/>
    </xf>
    <xf numFmtId="2" fontId="14" fillId="7" borderId="11" xfId="0" applyNumberFormat="1" applyFont="1" applyFill="1" applyBorder="1" applyAlignment="1">
      <alignment horizontal="right" vertical="center" wrapText="1"/>
    </xf>
    <xf numFmtId="2" fontId="14" fillId="7" borderId="13" xfId="0" applyNumberFormat="1" applyFont="1" applyFill="1" applyBorder="1" applyAlignment="1">
      <alignment horizontal="right" vertical="center" wrapText="1"/>
    </xf>
    <xf numFmtId="2" fontId="0" fillId="3" borderId="0" xfId="0" applyNumberFormat="1" applyFill="1"/>
    <xf numFmtId="2" fontId="8" fillId="3" borderId="0" xfId="5" applyNumberFormat="1" applyFont="1" applyFill="1"/>
    <xf numFmtId="2" fontId="8" fillId="3" borderId="0" xfId="5" applyNumberFormat="1" applyFont="1" applyFill="1" applyAlignment="1">
      <alignment horizontal="right"/>
    </xf>
    <xf numFmtId="2" fontId="3" fillId="0" borderId="9" xfId="0" applyNumberFormat="1" applyFont="1" applyBorder="1" applyAlignment="1">
      <alignment horizontal="center" vertical="center"/>
    </xf>
    <xf numFmtId="2" fontId="0" fillId="0" borderId="10" xfId="0" applyNumberFormat="1" applyBorder="1" applyAlignment="1">
      <alignment horizontal="center" vertical="center"/>
    </xf>
    <xf numFmtId="2" fontId="0" fillId="0" borderId="11" xfId="0" applyNumberFormat="1" applyBorder="1" applyAlignment="1">
      <alignment horizontal="center" vertical="center"/>
    </xf>
    <xf numFmtId="2" fontId="0" fillId="5" borderId="12" xfId="0" applyNumberFormat="1" applyFill="1" applyBorder="1" applyAlignment="1">
      <alignment horizontal="center" vertical="center"/>
    </xf>
    <xf numFmtId="2" fontId="0" fillId="0" borderId="13" xfId="0" applyNumberFormat="1" applyBorder="1" applyAlignment="1">
      <alignment horizontal="center" vertical="center"/>
    </xf>
    <xf numFmtId="2" fontId="0" fillId="0" borderId="10" xfId="0" quotePrefix="1" applyNumberFormat="1" applyBorder="1" applyAlignment="1">
      <alignment horizontal="center" vertical="center"/>
    </xf>
    <xf numFmtId="2" fontId="0" fillId="2" borderId="10" xfId="0" quotePrefix="1"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4" fontId="14" fillId="7" borderId="18" xfId="8" applyNumberFormat="1" applyFont="1" applyFill="1" applyBorder="1" applyAlignment="1">
      <alignment horizontal="center"/>
    </xf>
    <xf numFmtId="4" fontId="14" fillId="7" borderId="11" xfId="8" applyNumberFormat="1" applyFont="1" applyFill="1" applyBorder="1" applyAlignment="1">
      <alignment horizontal="center"/>
    </xf>
    <xf numFmtId="4" fontId="14" fillId="7" borderId="13" xfId="8" applyNumberFormat="1" applyFont="1" applyFill="1" applyBorder="1" applyAlignment="1">
      <alignment horizontal="center"/>
    </xf>
    <xf numFmtId="0" fontId="13" fillId="4" borderId="7" xfId="0" applyFont="1" applyFill="1" applyBorder="1" applyAlignment="1">
      <alignment horizontal="center" vertical="center" wrapText="1"/>
    </xf>
    <xf numFmtId="0" fontId="0" fillId="3" borderId="0" xfId="0" applyFill="1" applyAlignment="1">
      <alignment horizontal="left" vertical="top" wrapText="1"/>
    </xf>
    <xf numFmtId="0" fontId="13" fillId="4" borderId="5" xfId="0" applyFont="1" applyFill="1" applyBorder="1" applyAlignment="1">
      <alignment horizontal="center" vertical="center" wrapText="1"/>
    </xf>
    <xf numFmtId="0" fontId="13" fillId="4" borderId="6" xfId="0" applyFont="1" applyFill="1" applyBorder="1" applyAlignment="1">
      <alignment horizontal="center" vertical="center" wrapText="1"/>
    </xf>
    <xf numFmtId="0" fontId="13" fillId="4" borderId="7" xfId="0" applyFont="1" applyFill="1" applyBorder="1" applyAlignment="1">
      <alignment horizontal="center" vertical="center" wrapText="1"/>
    </xf>
    <xf numFmtId="2" fontId="14" fillId="6" borderId="4" xfId="6" applyNumberFormat="1" applyFont="1" applyFill="1" applyBorder="1" applyAlignment="1">
      <alignment horizontal="center" vertical="center" wrapText="1"/>
    </xf>
    <xf numFmtId="2" fontId="14" fillId="6" borderId="12" xfId="6" applyNumberFormat="1" applyFont="1" applyFill="1" applyBorder="1" applyAlignment="1">
      <alignment horizontal="center" vertical="center" wrapText="1"/>
    </xf>
    <xf numFmtId="0" fontId="14" fillId="6" borderId="4" xfId="0" applyFont="1" applyFill="1" applyBorder="1" applyAlignment="1">
      <alignment horizontal="center" vertical="center" wrapText="1"/>
    </xf>
    <xf numFmtId="0" fontId="14" fillId="6" borderId="8" xfId="0" applyFont="1" applyFill="1" applyBorder="1" applyAlignment="1">
      <alignment horizontal="center" vertical="center" wrapText="1"/>
    </xf>
    <xf numFmtId="3" fontId="14" fillId="6" borderId="9" xfId="7" applyNumberFormat="1" applyFont="1" applyFill="1" applyBorder="1" applyAlignment="1">
      <alignment horizontal="center" vertical="center" wrapText="1"/>
    </xf>
    <xf numFmtId="3" fontId="14" fillId="6" borderId="4" xfId="7" applyNumberFormat="1" applyFont="1" applyFill="1" applyBorder="1" applyAlignment="1">
      <alignment horizontal="center" vertical="center" wrapText="1"/>
    </xf>
    <xf numFmtId="3" fontId="14" fillId="6" borderId="9" xfId="0" applyNumberFormat="1" applyFont="1" applyFill="1" applyBorder="1" applyAlignment="1">
      <alignment horizontal="center" vertical="center" wrapText="1"/>
    </xf>
    <xf numFmtId="3" fontId="14" fillId="6" borderId="4" xfId="0" applyNumberFormat="1" applyFont="1" applyFill="1" applyBorder="1" applyAlignment="1">
      <alignment horizontal="center" vertical="center" wrapText="1"/>
    </xf>
    <xf numFmtId="0" fontId="14" fillId="6" borderId="9" xfId="0" applyFont="1" applyFill="1" applyBorder="1" applyAlignment="1">
      <alignment horizontal="center" vertical="center" wrapText="1"/>
    </xf>
    <xf numFmtId="0" fontId="14" fillId="6" borderId="4" xfId="0" applyFont="1" applyFill="1" applyBorder="1" applyAlignment="1" applyProtection="1">
      <alignment horizontal="center" vertical="center" wrapText="1"/>
      <protection locked="0"/>
    </xf>
    <xf numFmtId="0" fontId="14" fillId="6" borderId="8" xfId="0" applyFont="1" applyFill="1" applyBorder="1" applyAlignment="1" applyProtection="1">
      <alignment horizontal="center" vertical="center" wrapText="1"/>
      <protection locked="0"/>
    </xf>
    <xf numFmtId="3" fontId="14" fillId="6" borderId="9" xfId="7" applyNumberFormat="1" applyFont="1" applyFill="1" applyBorder="1" applyAlignment="1" applyProtection="1">
      <alignment horizontal="center" vertical="center" wrapText="1"/>
      <protection locked="0"/>
    </xf>
    <xf numFmtId="3" fontId="14" fillId="6" borderId="4" xfId="7" applyNumberFormat="1" applyFont="1" applyFill="1" applyBorder="1" applyAlignment="1" applyProtection="1">
      <alignment horizontal="center" vertical="center" wrapText="1"/>
      <protection locked="0"/>
    </xf>
    <xf numFmtId="3" fontId="14" fillId="6" borderId="9" xfId="0" applyNumberFormat="1" applyFont="1" applyFill="1" applyBorder="1" applyAlignment="1" applyProtection="1">
      <alignment horizontal="center" vertical="center" wrapText="1"/>
      <protection locked="0"/>
    </xf>
    <xf numFmtId="3" fontId="14" fillId="6" borderId="4" xfId="0" applyNumberFormat="1" applyFont="1" applyFill="1" applyBorder="1" applyAlignment="1" applyProtection="1">
      <alignment horizontal="center" vertical="center" wrapText="1"/>
      <protection locked="0"/>
    </xf>
    <xf numFmtId="2" fontId="14" fillId="6" borderId="4" xfId="6" applyNumberFormat="1" applyFont="1" applyFill="1" applyBorder="1" applyAlignment="1" applyProtection="1">
      <alignment horizontal="center" vertical="center" wrapText="1"/>
      <protection locked="0"/>
    </xf>
    <xf numFmtId="2" fontId="14" fillId="6" borderId="12" xfId="6" applyNumberFormat="1" applyFont="1" applyFill="1" applyBorder="1" applyAlignment="1" applyProtection="1">
      <alignment horizontal="center" vertical="center" wrapText="1"/>
      <protection locked="0"/>
    </xf>
    <xf numFmtId="0" fontId="14" fillId="6" borderId="9" xfId="0" applyFont="1" applyFill="1" applyBorder="1" applyAlignment="1" applyProtection="1">
      <alignment horizontal="center" vertical="center" wrapText="1"/>
      <protection locked="0"/>
    </xf>
    <xf numFmtId="2" fontId="14" fillId="6" borderId="8" xfId="6" applyNumberFormat="1" applyFont="1" applyFill="1" applyBorder="1" applyAlignment="1" applyProtection="1">
      <alignment horizontal="center" vertical="center" wrapText="1"/>
      <protection locked="0"/>
    </xf>
  </cellXfs>
  <cellStyles count="10">
    <cellStyle name="Comma 2 6" xfId="7" xr:uid="{568A53E8-3BF8-4835-A17B-CD8BDBE434AA}"/>
    <cellStyle name="Normal" xfId="0" builtinId="0"/>
    <cellStyle name="Normal 2 2" xfId="8" xr:uid="{23785B45-B965-41C9-B31B-2127DCD20AA7}"/>
    <cellStyle name="Normal 2 5" xfId="9" xr:uid="{8EE63C97-AFF1-446F-9C30-BA3831198756}"/>
    <cellStyle name="Normal 4 2" xfId="2" xr:uid="{BC7EB12E-04C2-41A0-A28B-BB6D08860232}"/>
    <cellStyle name="Normal 4 4" xfId="3" xr:uid="{83C4AC32-5093-4189-89EE-8C7797CB0AC8}"/>
    <cellStyle name="Normal 4 4 2" xfId="5" xr:uid="{363493BA-2FC4-4C9C-9178-A1324A173F51}"/>
    <cellStyle name="Normal 6" xfId="1" xr:uid="{65A03AD6-C2AE-473C-A990-BAFC2388F593}"/>
    <cellStyle name="Percent 3 2" xfId="4" xr:uid="{56DCB353-CCB2-4CA5-8DFF-CD29DDAC0B98}"/>
    <cellStyle name="Percent 3 2 5" xfId="6" xr:uid="{1DB42502-E571-4275-A407-ECAC545148F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C$2" fmlaRange="BS!$R$1:$R$8" noThreeD="1"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Style="combo" dx="16" fmlaLink="BS!$D$2" fmlaRange="BS!$S$1:$S$8" noThreeD="1" sel="1" val="0"/>
</file>

<file path=xl/ctrlProps/ctrlProp28.xml><?xml version="1.0" encoding="utf-8"?>
<formControlPr xmlns="http://schemas.microsoft.com/office/spreadsheetml/2009/9/main" objectType="Drop" dropStyle="combo" dx="16" fmlaLink="BS!$G$2" fmlaRange="BS!$Y$1:$Y$43" noThreeD="1" sel="1" val="0"/>
</file>

<file path=xl/ctrlProps/ctrlProp29.xml><?xml version="1.0" encoding="utf-8"?>
<formControlPr xmlns="http://schemas.microsoft.com/office/spreadsheetml/2009/9/main" objectType="Drop" dropStyle="combo" dx="16" fmlaLink="BS!$H$2" fmlaRange="BS!$Z$1:$Z$43" noThreeD="1" sel="1" val="0"/>
</file>

<file path=xl/ctrlProps/ctrlProp30.xml><?xml version="1.0" encoding="utf-8"?>
<formControlPr xmlns="http://schemas.microsoft.com/office/spreadsheetml/2009/9/main" objectType="Drop" dropStyle="combo" dx="16" fmlaLink="BS!$E$2" fmlaRange="BS!$AH$1:$AH$188" noThreeD="1" sel="1" val="0"/>
</file>

<file path=xl/ctrlProps/ctrlProp31.xml><?xml version="1.0" encoding="utf-8"?>
<formControlPr xmlns="http://schemas.microsoft.com/office/spreadsheetml/2009/9/main" objectType="Drop" dropStyle="combo" dx="16" fmlaLink="BS!$F$2" fmlaRange="BS!$AI$1:$AI$188" noThreeD="1" sel="1" val="0"/>
</file>

<file path=xl/ctrlProps/ctrlProp32.xml><?xml version="1.0" encoding="utf-8"?>
<formControlPr xmlns="http://schemas.microsoft.com/office/spreadsheetml/2009/9/main" objectType="Drop" dropStyle="combo" dx="16" fmlaLink="BS!$I$2" fmlaRange="BS!$AO$1:$AO$6" noThreeD="1" sel="1" val="0"/>
</file>

<file path=xl/ctrlProps/ctrlProp33.xml><?xml version="1.0" encoding="utf-8"?>
<formControlPr xmlns="http://schemas.microsoft.com/office/spreadsheetml/2009/9/main" objectType="Drop" dropStyle="combo" dx="16" fmlaLink="BS!$B$2" fmlaRange="BS!$L$1:$L$11" noThreeD="1" sel="1" val="0"/>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Radio" checked="Checked" firstButton="1"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Drop" dropStyle="combo" dx="16" fmlaLink="BS!$C$4" fmlaRange="BS!$R$1:$R$8" noThreeD="1" sel="1" val="0"/>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BS!$D$4" fmlaRange="BS!$S$1:$S$8" noThreeD="1" sel="1" val="0"/>
</file>

<file path=xl/ctrlProps/ctrlProp48.xml><?xml version="1.0" encoding="utf-8"?>
<formControlPr xmlns="http://schemas.microsoft.com/office/spreadsheetml/2009/9/main" objectType="Drop" dropStyle="combo" dx="16" fmlaLink="BS!$G$4" fmlaRange="BS!$Y$1:$Y$43" noThreeD="1" sel="1" val="0"/>
</file>

<file path=xl/ctrlProps/ctrlProp49.xml><?xml version="1.0" encoding="utf-8"?>
<formControlPr xmlns="http://schemas.microsoft.com/office/spreadsheetml/2009/9/main" objectType="Drop" dropStyle="combo" dx="16" fmlaLink="BS!$H$4" fmlaRange="BS!$Z$1:$Z$43" noThreeD="1" sel="1" val="0"/>
</file>

<file path=xl/ctrlProps/ctrlProp50.xml><?xml version="1.0" encoding="utf-8"?>
<formControlPr xmlns="http://schemas.microsoft.com/office/spreadsheetml/2009/9/main" objectType="Drop" dropStyle="combo" dx="16" fmlaLink="BS!$E$4" fmlaRange="BS!$AH$1:$AH$188" noThreeD="1" sel="1" val="0"/>
</file>

<file path=xl/ctrlProps/ctrlProp51.xml><?xml version="1.0" encoding="utf-8"?>
<formControlPr xmlns="http://schemas.microsoft.com/office/spreadsheetml/2009/9/main" objectType="Drop" dropStyle="combo" dx="16" fmlaLink="BS!$F$4" fmlaRange="BS!$AI$1:$AI$188" noThreeD="1" sel="1" val="0"/>
</file>

<file path=xl/ctrlProps/ctrlProp52.xml><?xml version="1.0" encoding="utf-8"?>
<formControlPr xmlns="http://schemas.microsoft.com/office/spreadsheetml/2009/9/main" objectType="Drop" dropStyle="combo" dx="16" fmlaLink="BS!$I$4" fmlaRange="BS!$AO$1:$AO$6" noThreeD="1" sel="1" val="0"/>
</file>

<file path=xl/ctrlProps/ctrlProp53.xml><?xml version="1.0" encoding="utf-8"?>
<formControlPr xmlns="http://schemas.microsoft.com/office/spreadsheetml/2009/9/main" objectType="Drop" dropStyle="combo" dx="16" fmlaLink="BS!$B$4" fmlaRange="BS!$L$1:$L$11" noThreeD="1" sel="1"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Radio" checked="Checked" firstButton="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Drop" dropStyle="combo" dx="16" fmlaLink="BS!$C$5" fmlaRange="BS!$R$1:$R$8" noThreeD="1" sel="1" val="0"/>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Drop" dropStyle="combo" dx="16" fmlaLink="BS!$D$5" fmlaRange="BS!$S$1:$S$8" noThreeD="1" sel="1" val="0"/>
</file>

<file path=xl/ctrlProps/ctrlProp68.xml><?xml version="1.0" encoding="utf-8"?>
<formControlPr xmlns="http://schemas.microsoft.com/office/spreadsheetml/2009/9/main" objectType="Drop" dropStyle="combo" dx="16" fmlaLink="BS!$G$5" fmlaRange="BS!$Y$1:$Y$43" noThreeD="1" sel="1" val="0"/>
</file>

<file path=xl/ctrlProps/ctrlProp69.xml><?xml version="1.0" encoding="utf-8"?>
<formControlPr xmlns="http://schemas.microsoft.com/office/spreadsheetml/2009/9/main" objectType="Drop" dropStyle="combo" dx="16" fmlaLink="BS!$H$5" fmlaRange="BS!$Z$1:$Z$43" noThreeD="1" sel="1" val="0"/>
</file>

<file path=xl/ctrlProps/ctrlProp70.xml><?xml version="1.0" encoding="utf-8"?>
<formControlPr xmlns="http://schemas.microsoft.com/office/spreadsheetml/2009/9/main" objectType="Drop" dropStyle="combo" dx="16" fmlaLink="BS!$E$5" fmlaRange="BS!$AH$1:$AH$188" noThreeD="1" sel="1" val="0"/>
</file>

<file path=xl/ctrlProps/ctrlProp71.xml><?xml version="1.0" encoding="utf-8"?>
<formControlPr xmlns="http://schemas.microsoft.com/office/spreadsheetml/2009/9/main" objectType="Drop" dropStyle="combo" dx="16" fmlaLink="BS!$F$5" fmlaRange="BS!$AI$1:$AI$188" noThreeD="1" sel="1" val="0"/>
</file>

<file path=xl/ctrlProps/ctrlProp72.xml><?xml version="1.0" encoding="utf-8"?>
<formControlPr xmlns="http://schemas.microsoft.com/office/spreadsheetml/2009/9/main" objectType="Drop" dropStyle="combo" dx="16" fmlaLink="BS!$I$5" fmlaRange="BS!$AO$1:$AO$6" noThreeD="1" sel="1" val="0"/>
</file>

<file path=xl/ctrlProps/ctrlProp73.xml><?xml version="1.0" encoding="utf-8"?>
<formControlPr xmlns="http://schemas.microsoft.com/office/spreadsheetml/2009/9/main" objectType="Drop" dropStyle="combo" dx="16" fmlaLink="BS!$B$5" fmlaRange="BS!$L$1:$L$11" noThreeD="1" sel="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Radio" checked="Checked" firstButton="1" lockText="1"/>
</file>

<file path=xl/ctrlProps/ctrlProp76.xml><?xml version="1.0" encoding="utf-8"?>
<formControlPr xmlns="http://schemas.microsoft.com/office/spreadsheetml/2009/9/main" objectType="Radio"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Style="combo" dx="16" fmlaLink="BS!$C$6" fmlaRange="BS!$R$1:$R$8" noThreeD="1" sel="1" val="0"/>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16" fmlaLink="BS!$D$6" fmlaRange="BS!$S$1:$S$8" noThreeD="1" sel="1" val="0"/>
</file>

<file path=xl/ctrlProps/ctrlProp88.xml><?xml version="1.0" encoding="utf-8"?>
<formControlPr xmlns="http://schemas.microsoft.com/office/spreadsheetml/2009/9/main" objectType="Drop" dropStyle="combo" dx="16" fmlaLink="BS!$G$6" fmlaRange="BS!$Y$1:$Y$43" noThreeD="1" sel="1" val="0"/>
</file>

<file path=xl/ctrlProps/ctrlProp89.xml><?xml version="1.0" encoding="utf-8"?>
<formControlPr xmlns="http://schemas.microsoft.com/office/spreadsheetml/2009/9/main" objectType="Drop" dropStyle="combo" dx="16" fmlaLink="BS!$H$6" fmlaRange="BS!$Z$1:$Z$43" noThreeD="1" sel="1" val="0"/>
</file>

<file path=xl/ctrlProps/ctrlProp90.xml><?xml version="1.0" encoding="utf-8"?>
<formControlPr xmlns="http://schemas.microsoft.com/office/spreadsheetml/2009/9/main" objectType="Drop" dropStyle="combo" dx="16" fmlaLink="BS!$E$6" fmlaRange="BS!$AH$1:$AH$188" noThreeD="1" sel="1" val="0"/>
</file>

<file path=xl/ctrlProps/ctrlProp91.xml><?xml version="1.0" encoding="utf-8"?>
<formControlPr xmlns="http://schemas.microsoft.com/office/spreadsheetml/2009/9/main" objectType="Drop" dropStyle="combo" dx="16" fmlaLink="BS!$F$6" fmlaRange="BS!$AI$1:$AI$188" noThreeD="1" sel="1" val="0"/>
</file>

<file path=xl/ctrlProps/ctrlProp92.xml><?xml version="1.0" encoding="utf-8"?>
<formControlPr xmlns="http://schemas.microsoft.com/office/spreadsheetml/2009/9/main" objectType="Drop" dropStyle="combo" dx="16" fmlaLink="BS!$I$6" fmlaRange="BS!$AO$1:$AO$6" noThreeD="1" sel="1" val="0"/>
</file>

<file path=xl/ctrlProps/ctrlProp93.xml><?xml version="1.0" encoding="utf-8"?>
<formControlPr xmlns="http://schemas.microsoft.com/office/spreadsheetml/2009/9/main" objectType="Drop" dropStyle="combo" dx="16" fmlaLink="BS!$B$6" fmlaRange="BS!$L$1:$L$11" noThreeD="1" sel="1" val="0"/>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Radio" checked="Checked" firstButton="1" lockText="1"/>
</file>

<file path=xl/ctrlProps/ctrlProp96.xml><?xml version="1.0" encoding="utf-8"?>
<formControlPr xmlns="http://schemas.microsoft.com/office/spreadsheetml/2009/9/main" objectType="Radio"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Drop" dropStyle="combo" dx="16" fmlaLink="BS!$C$7" fmlaRange="BS!$R$1:$R$8" noThreeD="1" sel="1" val="0"/>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Drop" dropStyle="combo" dx="16" fmlaLink="BS!$D$7" fmlaRange="BS!$S$1:$S$8" noThreeD="1" sel="1" val="0"/>
</file>

<file path=xl/ctrlProps/ctrlProp108.xml><?xml version="1.0" encoding="utf-8"?>
<formControlPr xmlns="http://schemas.microsoft.com/office/spreadsheetml/2009/9/main" objectType="Drop" dropStyle="combo" dx="16" fmlaLink="BS!$G$7" fmlaRange="BS!$Y$1:$Y$43" noThreeD="1" sel="1" val="0"/>
</file>

<file path=xl/ctrlProps/ctrlProp109.xml><?xml version="1.0" encoding="utf-8"?>
<formControlPr xmlns="http://schemas.microsoft.com/office/spreadsheetml/2009/9/main" objectType="Drop" dropStyle="combo" dx="16" fmlaLink="BS!$H$7" fmlaRange="BS!$Z$1:$Z$43" noThreeD="1" sel="1" val="0"/>
</file>

<file path=xl/ctrlProps/ctrlProp110.xml><?xml version="1.0" encoding="utf-8"?>
<formControlPr xmlns="http://schemas.microsoft.com/office/spreadsheetml/2009/9/main" objectType="Drop" dropStyle="combo" dx="16" fmlaLink="BS!$E$7" fmlaRange="BS!$AH$1:$AH$188" noThreeD="1" sel="1" val="0"/>
</file>

<file path=xl/ctrlProps/ctrlProp111.xml><?xml version="1.0" encoding="utf-8"?>
<formControlPr xmlns="http://schemas.microsoft.com/office/spreadsheetml/2009/9/main" objectType="Drop" dropStyle="combo" dx="16" fmlaLink="BS!$F$7" fmlaRange="BS!$AI$1:$AI$188" noThreeD="1" sel="1" val="0"/>
</file>

<file path=xl/ctrlProps/ctrlProp112.xml><?xml version="1.0" encoding="utf-8"?>
<formControlPr xmlns="http://schemas.microsoft.com/office/spreadsheetml/2009/9/main" objectType="Drop" dropStyle="combo" dx="16" fmlaLink="BS!$I$7" fmlaRange="BS!$AO$1:$AO$6" noThreeD="1" sel="1" val="0"/>
</file>

<file path=xl/ctrlProps/ctrlProp113.xml><?xml version="1.0" encoding="utf-8"?>
<formControlPr xmlns="http://schemas.microsoft.com/office/spreadsheetml/2009/9/main" objectType="Drop" dropStyle="combo" dx="16" fmlaLink="BS!$B$7" fmlaRange="BS!$L$1:$L$11" noThreeD="1" sel="1" val="0"/>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Radio" checked="Checked" firstButton="1" lockText="1"/>
</file>

<file path=xl/ctrlProps/ctrlProp116.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3" Type="http://schemas.openxmlformats.org/officeDocument/2006/relationships/hyperlink" Target="https://digital.nhs.uk/data-and-information/publications/statistical/nhs-workforce-statistics" TargetMode="External"/><Relationship Id="rId2" Type="http://schemas.openxmlformats.org/officeDocument/2006/relationships/hyperlink" Target="http://www.england.nhs.uk/ourwork/pe/fft/staff-fft/" TargetMode="External"/><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717550</xdr:colOff>
          <xdr:row>1</xdr:row>
          <xdr:rowOff>69850</xdr:rowOff>
        </xdr:from>
        <xdr:to>
          <xdr:col>11</xdr:col>
          <xdr:colOff>946150</xdr:colOff>
          <xdr:row>1</xdr:row>
          <xdr:rowOff>488950</xdr:rowOff>
        </xdr:to>
        <xdr:sp macro="" textlink="">
          <xdr:nvSpPr>
            <xdr:cNvPr id="1025" name="Engagemen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Engagement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1028700</xdr:colOff>
          <xdr:row>1</xdr:row>
          <xdr:rowOff>69850</xdr:rowOff>
        </xdr:from>
        <xdr:to>
          <xdr:col>11</xdr:col>
          <xdr:colOff>2101850</xdr:colOff>
          <xdr:row>1</xdr:row>
          <xdr:rowOff>488950</xdr:rowOff>
        </xdr:to>
        <xdr:sp macro="" textlink="">
          <xdr:nvSpPr>
            <xdr:cNvPr id="1026" name="Advocac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Advocacy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654050</xdr:colOff>
          <xdr:row>2</xdr:row>
          <xdr:rowOff>44450</xdr:rowOff>
        </xdr:from>
        <xdr:to>
          <xdr:col>11</xdr:col>
          <xdr:colOff>1066800</xdr:colOff>
          <xdr:row>4</xdr:row>
          <xdr:rowOff>31750</xdr:rowOff>
        </xdr:to>
        <xdr:sp macro="" textlink="">
          <xdr:nvSpPr>
            <xdr:cNvPr id="1027" name="CSV"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Create CSV files</a:t>
              </a:r>
            </a:p>
          </xdr:txBody>
        </xdr:sp>
        <xdr:clientData fPrintsWithSheet="0"/>
      </xdr:twoCellAnchor>
    </mc:Choice>
    <mc:Fallback/>
  </mc:AlternateContent>
  <xdr:twoCellAnchor>
    <xdr:from>
      <xdr:col>7</xdr:col>
      <xdr:colOff>66675</xdr:colOff>
      <xdr:row>2</xdr:row>
      <xdr:rowOff>76200</xdr:rowOff>
    </xdr:from>
    <xdr:to>
      <xdr:col>10</xdr:col>
      <xdr:colOff>619125</xdr:colOff>
      <xdr:row>4</xdr:row>
      <xdr:rowOff>180975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911215" y="1203960"/>
          <a:ext cx="3547110" cy="4933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36000" bIns="36000" rtlCol="0" anchor="t"/>
        <a:lstStyle/>
        <a:p>
          <a:pPr algn="r"/>
          <a:r>
            <a:rPr lang="en-GB" sz="1100"/>
            <a:t>  </a:t>
          </a:r>
          <a:r>
            <a:rPr lang="en-GB" sz="1100">
              <a:solidFill>
                <a:schemeClr val="dk1"/>
              </a:solidFill>
              <a:effectLst/>
              <a:latin typeface="+mn-lt"/>
              <a:ea typeface="+mn-ea"/>
              <a:cs typeface="+mn-cs"/>
            </a:rPr>
            <a:t>  To create .csv files containing the data, click on:</a:t>
          </a:r>
          <a:endParaRPr lang="en-GB">
            <a:effectLst/>
          </a:endParaRPr>
        </a:p>
        <a:p>
          <a:pPr algn="r"/>
          <a:r>
            <a:rPr lang="en-GB" sz="1000">
              <a:solidFill>
                <a:schemeClr val="dk1"/>
              </a:solidFill>
              <a:effectLst/>
              <a:latin typeface="+mn-lt"/>
              <a:ea typeface="+mn-ea"/>
              <a:cs typeface="+mn-cs"/>
            </a:rPr>
            <a:t>(please save this file to your computer before running this macro)</a:t>
          </a:r>
          <a:endParaRPr lang="en-GB" sz="1000">
            <a:effectLst/>
          </a:endParaRPr>
        </a:p>
      </xdr:txBody>
    </xdr:sp>
    <xdr:clientData/>
  </xdr:twoCellAnchor>
  <mc:AlternateContent xmlns:mc="http://schemas.openxmlformats.org/markup-compatibility/2006">
    <mc:Choice xmlns:a14="http://schemas.microsoft.com/office/drawing/2010/main" Requires="a14">
      <xdr:twoCellAnchor>
        <xdr:from>
          <xdr:col>7</xdr:col>
          <xdr:colOff>107950</xdr:colOff>
          <xdr:row>1</xdr:row>
          <xdr:rowOff>69850</xdr:rowOff>
        </xdr:from>
        <xdr:to>
          <xdr:col>8</xdr:col>
          <xdr:colOff>158750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xdr:clientData fPrintsWithSheet="0"/>
      </xdr:twoCellAnchor>
    </mc:Choice>
    <mc:Fallback/>
  </mc:AlternateContent>
  <xdr:twoCellAnchor>
    <xdr:from>
      <xdr:col>8</xdr:col>
      <xdr:colOff>209550</xdr:colOff>
      <xdr:row>0</xdr:row>
      <xdr:rowOff>114300</xdr:rowOff>
    </xdr:from>
    <xdr:to>
      <xdr:col>9</xdr:col>
      <xdr:colOff>390525</xdr:colOff>
      <xdr:row>1</xdr:row>
      <xdr:rowOff>495300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7090410" y="114300"/>
          <a:ext cx="1209675"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a:latin typeface="Arial" panose="020B0604020202020204" pitchFamily="34" charset="0"/>
              <a:cs typeface="Arial" panose="020B0604020202020204" pitchFamily="34" charset="0"/>
            </a:rPr>
            <a:t>Show data by:</a:t>
          </a:r>
        </a:p>
      </xdr:txBody>
    </xdr:sp>
    <xdr:clientData/>
  </xdr:twoCellAnchor>
  <xdr:twoCellAnchor>
    <xdr:from>
      <xdr:col>0</xdr:col>
      <xdr:colOff>0</xdr:colOff>
      <xdr:row>24</xdr:row>
      <xdr:rowOff>114299</xdr:rowOff>
    </xdr:from>
    <xdr:to>
      <xdr:col>12</xdr:col>
      <xdr:colOff>276225</xdr:colOff>
      <xdr:row>36</xdr:row>
      <xdr:rowOff>161925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0" y="5440679"/>
          <a:ext cx="12270105" cy="2371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Using the data</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The primary purpose of the National Quarterly Pulse Survey is to understand the working experience of staff more regularly and in a consistent approach, to support actions for improvement. Organisations should take ownership of their NQPS data and act on the results. The results of the NQPS should be used by providers and commissioners to celebrate success and make improvements where required. To aid further analysis, organisations may wish to collect additional information via the NQPS to make the data more useful at a local level (for example, demographics). These results should be used alongside the patient FFT results, and other local intelligence, to drive improvement, working in partnership with local staff side representatives and staff networks.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The introduction of the National Quarterly Pulse Survey complements the annual NHS Staff Survey and monthly People Pulse. The responses and data from the NQPS are primarily for action at a local level. This will build on the yearly, granular level data available from the annual National Staff Survey (NSS). Whilst the results of each survey may complement one another, it is important to mention that results from NSS and NQPS will not be directly comparable. Both the NQPS and NSS contain similar questions relating to staff engagement, however the approach and methodology of each survey is notably different, with contrasts in sampling approach and size, fieldwork period, data processing and adjustment, amongst others.</a:t>
          </a:r>
        </a:p>
        <a:p>
          <a:endParaRPr lang="en-GB" sz="1100"/>
        </a:p>
      </xdr:txBody>
    </xdr:sp>
    <xdr:clientData/>
  </xdr:twoCellAnchor>
  <xdr:twoCellAnchor>
    <xdr:from>
      <xdr:col>0</xdr:col>
      <xdr:colOff>0</xdr:colOff>
      <xdr:row>4</xdr:row>
      <xdr:rowOff>95250</xdr:rowOff>
    </xdr:from>
    <xdr:to>
      <xdr:col>12</xdr:col>
      <xdr:colOff>276225</xdr:colOff>
      <xdr:row>24</xdr:row>
      <xdr:rowOff>152400</xdr:rowOff>
    </xdr:to>
    <xdr:sp macro="" textlink="">
      <xdr:nvSpPr>
        <xdr:cNvPr id="9" name="TextBox 8">
          <a:hlinkClick xmlns:r="http://schemas.openxmlformats.org/officeDocument/2006/relationships" r:id="rId1"/>
          <a:extLst>
            <a:ext uri="{FF2B5EF4-FFF2-40B4-BE49-F238E27FC236}">
              <a16:creationId xmlns:a16="http://schemas.microsoft.com/office/drawing/2014/main" id="{00000000-0008-0000-0000-000009000000}"/>
            </a:ext>
          </a:extLst>
        </xdr:cNvPr>
        <xdr:cNvSpPr txBox="1"/>
      </xdr:nvSpPr>
      <xdr:spPr>
        <a:xfrm>
          <a:off x="0" y="1611630"/>
          <a:ext cx="12270105" cy="3867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What is the National Quarterly Pulse Survey?</a:t>
          </a:r>
        </a:p>
        <a:p>
          <a:endParaRPr lang="en-GB" sz="1100">
            <a:solidFill>
              <a:schemeClr val="dk1"/>
            </a:solidFill>
            <a:effectLst/>
            <a:latin typeface="+mn-lt"/>
            <a:ea typeface="+mn-ea"/>
            <a:cs typeface="+mn-cs"/>
          </a:endParaRPr>
        </a:p>
        <a:p>
          <a:pPr fontAlgn="base"/>
          <a:r>
            <a:rPr lang="en-GB" sz="1100">
              <a:solidFill>
                <a:schemeClr val="dk1"/>
              </a:solidFill>
              <a:effectLst/>
              <a:latin typeface="+mn-lt"/>
              <a:ea typeface="+mn-ea"/>
              <a:cs typeface="+mn-cs"/>
            </a:rPr>
            <a:t>The </a:t>
          </a:r>
          <a:r>
            <a:rPr lang="en-GB" sz="1100" u="sng">
              <a:solidFill>
                <a:schemeClr val="dk1"/>
              </a:solidFill>
              <a:effectLst/>
              <a:latin typeface="+mn-lt"/>
              <a:ea typeface="+mn-ea"/>
              <a:cs typeface="+mn-cs"/>
              <a:hlinkClick xmlns:r="http://schemas.openxmlformats.org/officeDocument/2006/relationships" r:id=""/>
            </a:rPr>
            <a:t>People Plan 2020/21- action for us all</a:t>
          </a:r>
          <a:r>
            <a:rPr lang="en-GB" sz="1100">
              <a:solidFill>
                <a:schemeClr val="dk1"/>
              </a:solidFill>
              <a:effectLst/>
              <a:latin typeface="+mn-lt"/>
              <a:ea typeface="+mn-ea"/>
              <a:cs typeface="+mn-cs"/>
            </a:rPr>
            <a:t> makes a commitment to introduce a new quarterly survey. The survey supports an integral part of the </a:t>
          </a:r>
          <a:r>
            <a:rPr lang="en-GB" sz="1100" u="sng">
              <a:solidFill>
                <a:schemeClr val="dk1"/>
              </a:solidFill>
              <a:effectLst/>
              <a:latin typeface="+mn-lt"/>
              <a:ea typeface="+mn-ea"/>
              <a:cs typeface="+mn-cs"/>
              <a:hlinkClick xmlns:r="http://schemas.openxmlformats.org/officeDocument/2006/relationships" r:id=""/>
            </a:rPr>
            <a:t>People Promise</a:t>
          </a:r>
          <a:r>
            <a:rPr lang="en-GB" sz="1100">
              <a:solidFill>
                <a:schemeClr val="dk1"/>
              </a:solidFill>
              <a:effectLst/>
              <a:latin typeface="+mn-lt"/>
              <a:ea typeface="+mn-ea"/>
              <a:cs typeface="+mn-cs"/>
            </a:rPr>
            <a:t>: “We each have a voice that counts”. It will provide insight into the working experience of our NHS People more regularly, in a consistent approach, to support actions for improvement. The survey includes the nine staff engagement questions from the annual NHS Staff Survey. These questions cover the three components of employee engagement: motivation, involvement, and advocacy and will be measured on a five-point scale of strongly agree-strongly disagree. </a:t>
          </a:r>
        </a:p>
        <a:p>
          <a:pPr fontAlgn="base"/>
          <a:r>
            <a:rPr lang="en-GB" sz="1100">
              <a:solidFill>
                <a:schemeClr val="dk1"/>
              </a:solidFill>
              <a:effectLst/>
              <a:latin typeface="+mn-lt"/>
              <a:ea typeface="+mn-ea"/>
              <a:cs typeface="+mn-cs"/>
            </a:rPr>
            <a:t> </a:t>
          </a:r>
        </a:p>
        <a:p>
          <a:pPr fontAlgn="base"/>
          <a:r>
            <a:rPr lang="en-GB" sz="1100">
              <a:solidFill>
                <a:schemeClr val="dk1"/>
              </a:solidFill>
              <a:effectLst/>
              <a:latin typeface="+mn-lt"/>
              <a:ea typeface="+mn-ea"/>
              <a:cs typeface="+mn-cs"/>
            </a:rPr>
            <a:t>The National Quarterly Pulse Survey (NQPS) has been implemented from April 2021, replacing the Staff Friends and Family Test (Staff FFT) which had previously been carried out since April 2014. </a:t>
          </a:r>
        </a:p>
        <a:p>
          <a:pPr fontAlgn="base"/>
          <a:r>
            <a:rPr lang="en-GB" sz="1100">
              <a:solidFill>
                <a:schemeClr val="dk1"/>
              </a:solidFill>
              <a:effectLst/>
              <a:latin typeface="+mn-lt"/>
              <a:ea typeface="+mn-ea"/>
              <a:cs typeface="+mn-cs"/>
            </a:rPr>
            <a:t> </a:t>
          </a:r>
        </a:p>
        <a:p>
          <a:pPr fontAlgn="base"/>
          <a:r>
            <a:rPr lang="en-GB" sz="1100">
              <a:solidFill>
                <a:schemeClr val="dk1"/>
              </a:solidFill>
              <a:effectLst/>
              <a:latin typeface="+mn-lt"/>
              <a:ea typeface="+mn-ea"/>
              <a:cs typeface="+mn-cs"/>
            </a:rPr>
            <a:t>The National Quarterly Pulse Survey is to be implemented in all NHS trusts providing acute, community, ambulance, and mental health services in England.</a:t>
          </a:r>
        </a:p>
        <a:p>
          <a:pPr fontAlgn="base"/>
          <a:r>
            <a:rPr lang="en-GB" sz="1100">
              <a:solidFill>
                <a:schemeClr val="dk1"/>
              </a:solidFill>
              <a:effectLst/>
              <a:latin typeface="+mn-lt"/>
              <a:ea typeface="+mn-ea"/>
              <a:cs typeface="+mn-cs"/>
            </a:rPr>
            <a:t>The aim is for all staff to have the opportunity to feed back their views on their organisation every quarter. Organisations will be required to collect data in Quarter 1, 2 and 4. There is no requirement to collect National Quarterly Pulse Survey data during Quarter 3 (October), when the annual staff survey is undertaken, although organisations may choose to do so. There is no submission open on Strategic Data Collection Service for Q3.  For the remaining three quarters, during the months of April, July and January, each trust will need to ask all staff the nine engagement theme questions from the annual NHS staff survey. </a:t>
          </a:r>
        </a:p>
        <a:p>
          <a:pPr fontAlgn="base"/>
          <a:r>
            <a:rPr lang="en-GB" sz="1100">
              <a:solidFill>
                <a:schemeClr val="dk1"/>
              </a:solidFill>
              <a:effectLst/>
              <a:latin typeface="+mn-lt"/>
              <a:ea typeface="+mn-ea"/>
              <a:cs typeface="+mn-cs"/>
            </a:rPr>
            <a:t>Recognising that some trusts have well established in house surveys and staff engagement tools, the method of data collection for the National Quarterly Pulse Survey is flexible and can be decided by each trust.  However, the simplest method to use is the free national </a:t>
          </a:r>
          <a:r>
            <a:rPr lang="en-GB" sz="1100" u="sng">
              <a:solidFill>
                <a:schemeClr val="dk1"/>
              </a:solidFill>
              <a:effectLst/>
              <a:latin typeface="+mn-lt"/>
              <a:ea typeface="+mn-ea"/>
              <a:cs typeface="+mn-cs"/>
              <a:hlinkClick xmlns:r="http://schemas.openxmlformats.org/officeDocument/2006/relationships" r:id=""/>
            </a:rPr>
            <a:t>People Pulse</a:t>
          </a:r>
          <a:r>
            <a:rPr lang="en-GB" sz="1100">
              <a:solidFill>
                <a:schemeClr val="dk1"/>
              </a:solidFill>
              <a:effectLst/>
              <a:latin typeface="+mn-lt"/>
              <a:ea typeface="+mn-ea"/>
              <a:cs typeface="+mn-cs"/>
            </a:rPr>
            <a:t> which has its own online analytics platform. Alternatives are an existing internal survey, or the current Staff Friends and Family Test provider. If a trust chooses to use the national People Pulse, there is no requirement to submit the data as this will be collected and submitted centrally. For other methods of data collection, trusts will need to submit the data through the </a:t>
          </a:r>
          <a:r>
            <a:rPr lang="en-GB" sz="1100" u="sng">
              <a:solidFill>
                <a:schemeClr val="dk1"/>
              </a:solidFill>
              <a:effectLst/>
              <a:latin typeface="+mn-lt"/>
              <a:ea typeface="+mn-ea"/>
              <a:cs typeface="+mn-cs"/>
              <a:hlinkClick xmlns:r="http://schemas.openxmlformats.org/officeDocument/2006/relationships" r:id=""/>
            </a:rPr>
            <a:t>Strategic Data Collection Service</a:t>
          </a:r>
          <a:r>
            <a:rPr lang="en-GB" sz="1100">
              <a:solidFill>
                <a:schemeClr val="dk1"/>
              </a:solidFill>
              <a:effectLst/>
              <a:latin typeface="+mn-lt"/>
              <a:ea typeface="+mn-ea"/>
              <a:cs typeface="+mn-cs"/>
            </a:rPr>
            <a:t>, as was the case for the Staff FFT. </a:t>
          </a:r>
        </a:p>
        <a:p>
          <a:pPr fontAlgn="base"/>
          <a:r>
            <a:rPr lang="en-GB" sz="1100">
              <a:solidFill>
                <a:schemeClr val="dk1"/>
              </a:solidFill>
              <a:effectLst/>
              <a:latin typeface="+mn-lt"/>
              <a:ea typeface="+mn-ea"/>
              <a:cs typeface="+mn-cs"/>
            </a:rPr>
            <a:t> </a:t>
          </a:r>
        </a:p>
        <a:p>
          <a:pPr fontAlgn="base"/>
          <a:r>
            <a:rPr lang="en-GB" sz="1100">
              <a:solidFill>
                <a:schemeClr val="dk1"/>
              </a:solidFill>
              <a:effectLst/>
              <a:latin typeface="+mn-lt"/>
              <a:ea typeface="+mn-ea"/>
              <a:cs typeface="+mn-cs"/>
            </a:rPr>
            <a:t>For further information, please visit: </a:t>
          </a:r>
          <a:r>
            <a:rPr lang="en-GB" sz="1100" u="sng">
              <a:solidFill>
                <a:schemeClr val="dk1"/>
              </a:solidFill>
              <a:effectLst/>
              <a:latin typeface="+mn-lt"/>
              <a:ea typeface="+mn-ea"/>
              <a:cs typeface="+mn-cs"/>
              <a:hlinkClick xmlns:r="http://schemas.openxmlformats.org/officeDocument/2006/relationships" r:id=""/>
            </a:rPr>
            <a:t>NHS England » The National Quarterly Pulse Survey</a:t>
          </a:r>
          <a:endParaRPr lang="en-GB" sz="1100">
            <a:solidFill>
              <a:schemeClr val="dk1"/>
            </a:solidFill>
            <a:effectLst/>
            <a:latin typeface="+mn-lt"/>
            <a:ea typeface="+mn-ea"/>
            <a:cs typeface="+mn-cs"/>
          </a:endParaRPr>
        </a:p>
        <a:p>
          <a:pPr>
            <a:lnSpc>
              <a:spcPct val="150000"/>
            </a:lnSpc>
            <a:spcAft>
              <a:spcPts val="1000"/>
            </a:spcAft>
          </a:pPr>
          <a:r>
            <a:rPr lang="en-GB" sz="1100">
              <a:effectLst/>
              <a:latin typeface="+mn-lt"/>
              <a:ea typeface="Calibri"/>
              <a:cs typeface="Times New Roman"/>
            </a:rPr>
            <a:t> </a:t>
          </a:r>
        </a:p>
        <a:p>
          <a:pPr>
            <a:lnSpc>
              <a:spcPct val="150000"/>
            </a:lnSpc>
          </a:pPr>
          <a:endParaRPr lang="en-GB" sz="1100"/>
        </a:p>
      </xdr:txBody>
    </xdr:sp>
    <xdr:clientData/>
  </xdr:twoCellAnchor>
  <xdr:twoCellAnchor>
    <xdr:from>
      <xdr:col>0</xdr:col>
      <xdr:colOff>0</xdr:colOff>
      <xdr:row>36</xdr:row>
      <xdr:rowOff>180973</xdr:rowOff>
    </xdr:from>
    <xdr:to>
      <xdr:col>12</xdr:col>
      <xdr:colOff>276225</xdr:colOff>
      <xdr:row>52</xdr:row>
      <xdr:rowOff>57150</xdr:rowOff>
    </xdr:to>
    <xdr:sp macro="" textlink="">
      <xdr:nvSpPr>
        <xdr:cNvPr id="10" name="TextBox 9">
          <a:hlinkClick xmlns:r="http://schemas.openxmlformats.org/officeDocument/2006/relationships" r:id="rId2"/>
          <a:extLst>
            <a:ext uri="{FF2B5EF4-FFF2-40B4-BE49-F238E27FC236}">
              <a16:creationId xmlns:a16="http://schemas.microsoft.com/office/drawing/2014/main" id="{00000000-0008-0000-0000-00000A000000}"/>
            </a:ext>
          </a:extLst>
        </xdr:cNvPr>
        <xdr:cNvSpPr txBox="1"/>
      </xdr:nvSpPr>
      <xdr:spPr>
        <a:xfrm>
          <a:off x="0" y="7831453"/>
          <a:ext cx="12270105" cy="29241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Quarterly data submission process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Organisations should carefully consider which data collection method best suits the needs and preferences of their staff, across the range of services provided, or functions carried out, by the organisation. To collect data, trusts can choose between the following methods:</a:t>
          </a:r>
        </a:p>
        <a:p>
          <a:endParaRPr lang="en-GB" sz="1100">
            <a:solidFill>
              <a:schemeClr val="dk1"/>
            </a:solidFill>
            <a:effectLst/>
            <a:latin typeface="+mn-lt"/>
            <a:ea typeface="+mn-ea"/>
            <a:cs typeface="+mn-cs"/>
          </a:endParaRPr>
        </a:p>
        <a:p>
          <a:pPr lvl="0"/>
          <a:r>
            <a:rPr lang="en-GB" sz="1100">
              <a:solidFill>
                <a:schemeClr val="dk1"/>
              </a:solidFill>
              <a:effectLst/>
              <a:latin typeface="+mn-lt"/>
              <a:ea typeface="+mn-ea"/>
              <a:cs typeface="+mn-cs"/>
            </a:rPr>
            <a:t>The national People Pulse</a:t>
          </a:r>
        </a:p>
        <a:p>
          <a:pPr lvl="0"/>
          <a:r>
            <a:rPr lang="en-GB" sz="1100">
              <a:solidFill>
                <a:schemeClr val="dk1"/>
              </a:solidFill>
              <a:effectLst/>
              <a:latin typeface="+mn-lt"/>
              <a:ea typeface="+mn-ea"/>
              <a:cs typeface="+mn-cs"/>
            </a:rPr>
            <a:t>Existing internal surveys</a:t>
          </a:r>
        </a:p>
        <a:p>
          <a:pPr lvl="0"/>
          <a:r>
            <a:rPr lang="en-GB" sz="1100">
              <a:solidFill>
                <a:schemeClr val="dk1"/>
              </a:solidFill>
              <a:effectLst/>
              <a:latin typeface="+mn-lt"/>
              <a:ea typeface="+mn-ea"/>
              <a:cs typeface="+mn-cs"/>
            </a:rPr>
            <a:t>External survey providers</a:t>
          </a:r>
        </a:p>
        <a:p>
          <a:pPr lvl="0"/>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If using the national People Pulse, there is no requirement for data to be submitted by trusts via the Strategic Data Collection Service (SDCS) as this will be done centrally. If using an existing internal survey tool or an external survey provider, data will need to be submitted via SDCS by trusts. This includes trusts providing acute, community, ambulance, specialist, and mental health services. </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Regardless of the data collection method, organisations are asked to </a:t>
          </a:r>
          <a:r>
            <a:rPr lang="en-GB" sz="1100" b="1">
              <a:solidFill>
                <a:schemeClr val="dk1"/>
              </a:solidFill>
              <a:effectLst/>
              <a:latin typeface="+mn-lt"/>
              <a:ea typeface="+mn-ea"/>
              <a:cs typeface="+mn-cs"/>
            </a:rPr>
            <a:t>collect data in the first month</a:t>
          </a:r>
          <a:r>
            <a:rPr lang="en-GB" sz="1100">
              <a:solidFill>
                <a:schemeClr val="dk1"/>
              </a:solidFill>
              <a:effectLst/>
              <a:latin typeface="+mn-lt"/>
              <a:ea typeface="+mn-ea"/>
              <a:cs typeface="+mn-cs"/>
            </a:rPr>
            <a:t> of the quarter (April, July and January). Trusts using other methods than the national People Pulse are asked to </a:t>
          </a:r>
          <a:r>
            <a:rPr lang="en-GB" sz="1100" b="1">
              <a:solidFill>
                <a:schemeClr val="dk1"/>
              </a:solidFill>
              <a:effectLst/>
              <a:latin typeface="+mn-lt"/>
              <a:ea typeface="+mn-ea"/>
              <a:cs typeface="+mn-cs"/>
            </a:rPr>
            <a:t>submit data by the 8</a:t>
          </a:r>
          <a:r>
            <a:rPr lang="en-GB" sz="1100" b="1" baseline="30000">
              <a:solidFill>
                <a:schemeClr val="dk1"/>
              </a:solidFill>
              <a:effectLst/>
              <a:latin typeface="+mn-lt"/>
              <a:ea typeface="+mn-ea"/>
              <a:cs typeface="+mn-cs"/>
            </a:rPr>
            <a:t>th</a:t>
          </a:r>
          <a:r>
            <a:rPr lang="en-GB" sz="1100">
              <a:solidFill>
                <a:schemeClr val="dk1"/>
              </a:solidFill>
              <a:effectLst/>
              <a:latin typeface="+mn-lt"/>
              <a:ea typeface="+mn-ea"/>
              <a:cs typeface="+mn-cs"/>
            </a:rPr>
            <a:t> calendar day of the second month of the quarter. This applies only to Quarter 1, 2 and 4. </a:t>
          </a:r>
          <a:r>
            <a:rPr lang="en-GB" sz="1100" b="1">
              <a:solidFill>
                <a:schemeClr val="dk1"/>
              </a:solidFill>
              <a:effectLst/>
              <a:latin typeface="+mn-lt"/>
              <a:ea typeface="+mn-ea"/>
              <a:cs typeface="+mn-cs"/>
            </a:rPr>
            <a:t>Quarter 3 is excluded</a:t>
          </a:r>
          <a:r>
            <a:rPr lang="en-GB" sz="1100">
              <a:solidFill>
                <a:schemeClr val="dk1"/>
              </a:solidFill>
              <a:effectLst/>
              <a:latin typeface="+mn-lt"/>
              <a:ea typeface="+mn-ea"/>
              <a:cs typeface="+mn-cs"/>
            </a:rPr>
            <a:t> from this requirement due to the period of fieldwork for the annual National Staff Survey. </a:t>
          </a:r>
        </a:p>
        <a:p>
          <a:endParaRPr lang="en-GB" sz="1100"/>
        </a:p>
      </xdr:txBody>
    </xdr:sp>
    <xdr:clientData/>
  </xdr:twoCellAnchor>
  <xdr:twoCellAnchor>
    <xdr:from>
      <xdr:col>0</xdr:col>
      <xdr:colOff>0</xdr:colOff>
      <xdr:row>51</xdr:row>
      <xdr:rowOff>180972</xdr:rowOff>
    </xdr:from>
    <xdr:to>
      <xdr:col>12</xdr:col>
      <xdr:colOff>276225</xdr:colOff>
      <xdr:row>70</xdr:row>
      <xdr:rowOff>66675</xdr:rowOff>
    </xdr:to>
    <xdr:sp macro="" textlink="">
      <xdr:nvSpPr>
        <xdr:cNvPr id="11" name="TextBox 10">
          <a:hlinkClick xmlns:r="http://schemas.openxmlformats.org/officeDocument/2006/relationships" r:id="rId3"/>
          <a:extLst>
            <a:ext uri="{FF2B5EF4-FFF2-40B4-BE49-F238E27FC236}">
              <a16:creationId xmlns:a16="http://schemas.microsoft.com/office/drawing/2014/main" id="{00000000-0008-0000-0000-00000B000000}"/>
            </a:ext>
          </a:extLst>
        </xdr:cNvPr>
        <xdr:cNvSpPr txBox="1"/>
      </xdr:nvSpPr>
      <xdr:spPr>
        <a:xfrm>
          <a:off x="0" y="10688952"/>
          <a:ext cx="12270105" cy="35052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Calculation of engagement scores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The National Quarterly Pulse Survey provides staff engagement scores. The calculations are consistent with the way staff engagement scores are worked out for the National Staff Survey (</a:t>
          </a:r>
          <a:r>
            <a:rPr lang="en-GB" sz="1100" u="sng">
              <a:solidFill>
                <a:schemeClr val="dk1"/>
              </a:solidFill>
              <a:effectLst/>
              <a:latin typeface="+mn-lt"/>
              <a:ea typeface="+mn-ea"/>
              <a:cs typeface="+mn-cs"/>
              <a:hlinkClick xmlns:r="http://schemas.openxmlformats.org/officeDocument/2006/relationships" r:id=""/>
            </a:rPr>
            <a:t>NHS-Staff-Survey-2020-Technical-document-V2.pdf (nhsstaffsurveys.com)</a:t>
          </a:r>
          <a:r>
            <a:rPr lang="en-GB" sz="1100">
              <a:solidFill>
                <a:schemeClr val="dk1"/>
              </a:solidFill>
              <a:effectLst/>
              <a:latin typeface="+mn-lt"/>
              <a:ea typeface="+mn-ea"/>
              <a:cs typeface="+mn-cs"/>
            </a:rPr>
            <a:t>) </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This theme score (i.e. staff engagement score) is calculated based on the mean of the three separate sub-themes (advocacy, involvement and motivation) calculated at an organisational level. The sub-scores are the mean of their contributing rescored questions. The sum of all responses for all questions contributing to the theme and sub-themes are rescored to achieve a scale of 0-10. The scores are assigned based on outcome, so the most favourable response will be scored 10, while the worst will be scored 0 (at intervals of 2.5pt).</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Please</a:t>
          </a:r>
          <a:r>
            <a:rPr lang="en-GB" sz="1100" baseline="0">
              <a:solidFill>
                <a:schemeClr val="dk1"/>
              </a:solidFill>
              <a:effectLst/>
              <a:latin typeface="+mn-lt"/>
              <a:ea typeface="+mn-ea"/>
              <a:cs typeface="+mn-cs"/>
            </a:rPr>
            <a:t> note that the due to the theme score being based upon a mean of the three subscores, there may be variances if averaging scores due to the weighted calculations and variance in number of responses received. Averaging scores should therefore be avoided.</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a:t>
          </a:r>
        </a:p>
        <a:p>
          <a:r>
            <a:rPr lang="en-GB" sz="1100" b="1">
              <a:solidFill>
                <a:schemeClr val="dk1"/>
              </a:solidFill>
              <a:effectLst/>
              <a:latin typeface="+mn-lt"/>
              <a:ea typeface="+mn-ea"/>
              <a:cs typeface="+mn-cs"/>
            </a:rPr>
            <a:t>Comparison of the staff engagement scores between the National Quarterly Pulse Survey and the annual National Staff Survey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The National Quarterly Pulse Survey tracks trends against key themes to inform policy and action.  This supplements the granular level of data and action planning following the annual National Staff Survey results. However, it is not directly comparable. As mentioned above, whilst the results of each survey may complement one another and both the NQPS and NSS contain similar questions relating to staff engagement, the approach and methodology of each survey is notably different, with contrasts in sampling approach and size, fieldwork period, data processing and adjustment, amongst others. For these reasons direct comparison is not possible. </a:t>
          </a:r>
        </a:p>
        <a:p>
          <a:endParaRPr lang="en-GB" sz="1100">
            <a:solidFill>
              <a:schemeClr val="dk1"/>
            </a:solidFill>
            <a:effectLst/>
            <a:latin typeface="+mn-lt"/>
            <a:ea typeface="+mn-ea"/>
            <a:cs typeface="+mn-cs"/>
          </a:endParaRPr>
        </a:p>
        <a:p>
          <a:r>
            <a:rPr lang="en-GB" sz="1100" b="1">
              <a:solidFill>
                <a:schemeClr val="dk1"/>
              </a:solidFill>
              <a:effectLst/>
              <a:latin typeface="+mn-lt"/>
              <a:ea typeface="+mn-ea"/>
              <a:cs typeface="+mn-cs"/>
            </a:rPr>
            <a:t>Contact</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National Quarterly Pulse Survey queries please contact </a:t>
          </a:r>
          <a:r>
            <a:rPr lang="en-GB" sz="1100" u="sng">
              <a:solidFill>
                <a:schemeClr val="dk1"/>
              </a:solidFill>
              <a:effectLst/>
              <a:latin typeface="+mn-lt"/>
              <a:ea typeface="+mn-ea"/>
              <a:cs typeface="+mn-cs"/>
              <a:hlinkClick xmlns:r="http://schemas.openxmlformats.org/officeDocument/2006/relationships" r:id=""/>
            </a:rPr>
            <a:t>nhsi.quarterlyss@nhs.net</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11</xdr:col>
          <xdr:colOff>1028700</xdr:colOff>
          <xdr:row>1</xdr:row>
          <xdr:rowOff>527050</xdr:rowOff>
        </xdr:from>
        <xdr:to>
          <xdr:col>11</xdr:col>
          <xdr:colOff>2101850</xdr:colOff>
          <xdr:row>1</xdr:row>
          <xdr:rowOff>946150</xdr:rowOff>
        </xdr:to>
        <xdr:sp macro="" textlink="">
          <xdr:nvSpPr>
            <xdr:cNvPr id="1029" name="Motivation"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Motivation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717550</xdr:colOff>
          <xdr:row>1</xdr:row>
          <xdr:rowOff>527050</xdr:rowOff>
        </xdr:from>
        <xdr:to>
          <xdr:col>11</xdr:col>
          <xdr:colOff>946150</xdr:colOff>
          <xdr:row>1</xdr:row>
          <xdr:rowOff>946150</xdr:rowOff>
        </xdr:to>
        <xdr:sp macro="" textlink="">
          <xdr:nvSpPr>
            <xdr:cNvPr id="1030" name="Involvement"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Involvement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463550</xdr:colOff>
          <xdr:row>1</xdr:row>
          <xdr:rowOff>69850</xdr:rowOff>
        </xdr:from>
        <xdr:to>
          <xdr:col>10</xdr:col>
          <xdr:colOff>641350</xdr:colOff>
          <xdr:row>1</xdr:row>
          <xdr:rowOff>488950</xdr:rowOff>
        </xdr:to>
        <xdr:sp macro="" textlink="">
          <xdr:nvSpPr>
            <xdr:cNvPr id="1031" name="Breakdown"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Engagement Breakdown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457200</xdr:colOff>
          <xdr:row>1</xdr:row>
          <xdr:rowOff>527050</xdr:rowOff>
        </xdr:from>
        <xdr:to>
          <xdr:col>10</xdr:col>
          <xdr:colOff>615950</xdr:colOff>
          <xdr:row>1</xdr:row>
          <xdr:rowOff>946150</xdr:rowOff>
        </xdr:to>
        <xdr:sp macro="" textlink="">
          <xdr:nvSpPr>
            <xdr:cNvPr id="1032" name="Scores"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All Engagement Scores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0</xdr:colOff>
          <xdr:row>1</xdr:row>
          <xdr:rowOff>38100</xdr:rowOff>
        </xdr:from>
        <xdr:to>
          <xdr:col>5</xdr:col>
          <xdr:colOff>1104900</xdr:colOff>
          <xdr:row>1</xdr:row>
          <xdr:rowOff>463550</xdr:rowOff>
        </xdr:to>
        <xdr:sp macro="" textlink="">
          <xdr:nvSpPr>
            <xdr:cNvPr id="2049" name="Engagemen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Engagement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31750</xdr:colOff>
          <xdr:row>1</xdr:row>
          <xdr:rowOff>539750</xdr:rowOff>
        </xdr:from>
        <xdr:to>
          <xdr:col>4</xdr:col>
          <xdr:colOff>1136650</xdr:colOff>
          <xdr:row>1</xdr:row>
          <xdr:rowOff>984250</xdr:rowOff>
        </xdr:to>
        <xdr:sp macro="" textlink="">
          <xdr:nvSpPr>
            <xdr:cNvPr id="2050" name="Advocacy"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Advocacy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146050</xdr:colOff>
          <xdr:row>1</xdr:row>
          <xdr:rowOff>38100</xdr:rowOff>
        </xdr:from>
        <xdr:to>
          <xdr:col>1</xdr:col>
          <xdr:colOff>1250950</xdr:colOff>
          <xdr:row>1</xdr:row>
          <xdr:rowOff>463550</xdr:rowOff>
        </xdr:to>
        <xdr:sp macro="" textlink="">
          <xdr:nvSpPr>
            <xdr:cNvPr id="2051" name="Not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xdr:twoCellAnchor>
    </mc:Choice>
    <mc:Fallback/>
  </mc:AlternateContent>
  <xdr:twoCellAnchor>
    <xdr:from>
      <xdr:col>2</xdr:col>
      <xdr:colOff>1219200</xdr:colOff>
      <xdr:row>1</xdr:row>
      <xdr:rowOff>76200</xdr:rowOff>
    </xdr:from>
    <xdr:to>
      <xdr:col>4</xdr:col>
      <xdr:colOff>19050</xdr:colOff>
      <xdr:row>1</xdr:row>
      <xdr:rowOff>381000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3939540" y="152400"/>
          <a:ext cx="134493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clientData/>
  </xdr:twoCellAnchor>
  <xdr:twoCellAnchor>
    <xdr:from>
      <xdr:col>1</xdr:col>
      <xdr:colOff>9525</xdr:colOff>
      <xdr:row>1</xdr:row>
      <xdr:rowOff>0</xdr:rowOff>
    </xdr:from>
    <xdr:to>
      <xdr:col>7</xdr:col>
      <xdr:colOff>19051</xdr:colOff>
      <xdr:row>2</xdr:row>
      <xdr:rowOff>28575</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664845" y="76200"/>
          <a:ext cx="8437246" cy="111823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1</xdr:col>
          <xdr:colOff>146050</xdr:colOff>
          <xdr:row>1</xdr:row>
          <xdr:rowOff>539750</xdr:rowOff>
        </xdr:from>
        <xdr:to>
          <xdr:col>1</xdr:col>
          <xdr:colOff>1250950</xdr:colOff>
          <xdr:row>1</xdr:row>
          <xdr:rowOff>984250</xdr:rowOff>
        </xdr:to>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539750</xdr:rowOff>
        </xdr:from>
        <xdr:to>
          <xdr:col>5</xdr:col>
          <xdr:colOff>1111250</xdr:colOff>
          <xdr:row>1</xdr:row>
          <xdr:rowOff>984250</xdr:rowOff>
        </xdr:to>
        <xdr:sp macro="" textlink="">
          <xdr:nvSpPr>
            <xdr:cNvPr id="2053" name="Involvement"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Involvement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1225550</xdr:colOff>
          <xdr:row>1</xdr:row>
          <xdr:rowOff>539750</xdr:rowOff>
        </xdr:from>
        <xdr:to>
          <xdr:col>6</xdr:col>
          <xdr:colOff>1098550</xdr:colOff>
          <xdr:row>1</xdr:row>
          <xdr:rowOff>984250</xdr:rowOff>
        </xdr:to>
        <xdr:sp macro="" textlink="">
          <xdr:nvSpPr>
            <xdr:cNvPr id="2054" name="Motivation"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Motivation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31750</xdr:colOff>
          <xdr:row>1</xdr:row>
          <xdr:rowOff>38100</xdr:rowOff>
        </xdr:from>
        <xdr:to>
          <xdr:col>4</xdr:col>
          <xdr:colOff>1136650</xdr:colOff>
          <xdr:row>1</xdr:row>
          <xdr:rowOff>463550</xdr:rowOff>
        </xdr:to>
        <xdr:sp macro="" textlink="">
          <xdr:nvSpPr>
            <xdr:cNvPr id="2055" name="Breakdown"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Engagement Breakdown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1225550</xdr:colOff>
          <xdr:row>1</xdr:row>
          <xdr:rowOff>38100</xdr:rowOff>
        </xdr:from>
        <xdr:to>
          <xdr:col>6</xdr:col>
          <xdr:colOff>1098550</xdr:colOff>
          <xdr:row>1</xdr:row>
          <xdr:rowOff>463550</xdr:rowOff>
        </xdr:to>
        <xdr:sp macro="" textlink="">
          <xdr:nvSpPr>
            <xdr:cNvPr id="2056" name="Scores"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All Engagement Scores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9525</xdr:colOff>
      <xdr:row>1</xdr:row>
      <xdr:rowOff>0</xdr:rowOff>
    </xdr:from>
    <xdr:to>
      <xdr:col>5</xdr:col>
      <xdr:colOff>5171806</xdr:colOff>
      <xdr:row>5</xdr:row>
      <xdr:rowOff>35744</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647700" y="190500"/>
          <a:ext cx="14334856" cy="2035994"/>
          <a:chOff x="603250" y="45245"/>
          <a:chExt cx="14300143" cy="2039169"/>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625793" y="45245"/>
            <a:ext cx="14277600" cy="727200"/>
            <a:chOff x="625793" y="45245"/>
            <a:chExt cx="14277600" cy="727200"/>
          </a:xfrm>
        </xdr:grpSpPr>
        <mc:AlternateContent xmlns:mc="http://schemas.openxmlformats.org/markup-compatibility/2006">
          <mc:Choice xmlns:a14="http://schemas.microsoft.com/office/drawing/2010/main" Requires="a14">
            <xdr:sp macro="" textlink="">
              <xdr:nvSpPr>
                <xdr:cNvPr id="3073" name="Engagemen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9433136"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Engagement </a:t>
                  </a:r>
                </a:p>
              </xdr:txBody>
            </xdr:sp>
          </mc:Choice>
          <mc:Fallback/>
        </mc:AlternateContent>
        <mc:AlternateContent xmlns:mc="http://schemas.openxmlformats.org/markup-compatibility/2006">
          <mc:Choice xmlns:a14="http://schemas.microsoft.com/office/drawing/2010/main" Requires="a14">
            <xdr:sp macro="" textlink="">
              <xdr:nvSpPr>
                <xdr:cNvPr id="3074" name="Advocacy"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10822304"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Advocacy</a:t>
                  </a:r>
                </a:p>
              </xdr:txBody>
            </xdr:sp>
          </mc:Choice>
          <mc:Fallback/>
        </mc:AlternateContent>
        <mc:AlternateContent xmlns:mc="http://schemas.openxmlformats.org/markup-compatibility/2006">
          <mc:Choice xmlns:a14="http://schemas.microsoft.com/office/drawing/2010/main" Requires="a14">
            <xdr:sp macro="" textlink="">
              <xdr:nvSpPr>
                <xdr:cNvPr id="3075" name="Notes"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916337"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mc:Choice>
          <mc:Fallback/>
        </mc:AlternateContent>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5507020" y="179091"/>
              <a:ext cx="1805354" cy="412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sp macro="" textlink="">
          <xdr:nvSpPr>
            <xdr:cNvPr id="26" name="Rectangle 25">
              <a:extLst>
                <a:ext uri="{FF2B5EF4-FFF2-40B4-BE49-F238E27FC236}">
                  <a16:creationId xmlns:a16="http://schemas.microsoft.com/office/drawing/2014/main" id="{00000000-0008-0000-0200-00001A000000}"/>
                </a:ext>
              </a:extLst>
            </xdr:cNvPr>
            <xdr:cNvSpPr/>
          </xdr:nvSpPr>
          <xdr:spPr>
            <a:xfrm>
              <a:off x="625793" y="45245"/>
              <a:ext cx="14277600" cy="727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3076" name="Summary"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2347383"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mc:AlternateContent xmlns:mc="http://schemas.openxmlformats.org/markup-compatibility/2006">
          <mc:Choice xmlns:a14="http://schemas.microsoft.com/office/drawing/2010/main" Requires="a14">
            <xdr:sp macro="" textlink="">
              <xdr:nvSpPr>
                <xdr:cNvPr id="3077" name="Involvement"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12211472"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Involvement</a:t>
                  </a:r>
                </a:p>
              </xdr:txBody>
            </xdr:sp>
          </mc:Choice>
          <mc:Fallback/>
        </mc:AlternateContent>
        <mc:AlternateContent xmlns:mc="http://schemas.openxmlformats.org/markup-compatibility/2006">
          <mc:Choice xmlns:a14="http://schemas.microsoft.com/office/drawing/2010/main" Requires="a14">
            <xdr:sp macro="" textlink="">
              <xdr:nvSpPr>
                <xdr:cNvPr id="3078" name="Motivation"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13600641" y="163900"/>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Motivation</a:t>
                  </a:r>
                </a:p>
              </xdr:txBody>
            </xdr:sp>
          </mc:Choice>
          <mc:Fallback/>
        </mc:AlternateContent>
        <mc:AlternateContent xmlns:mc="http://schemas.openxmlformats.org/markup-compatibility/2006">
          <mc:Choice xmlns:a14="http://schemas.microsoft.com/office/drawing/2010/main" Requires="a14">
            <xdr:sp macro="" textlink="">
              <xdr:nvSpPr>
                <xdr:cNvPr id="3079" name="Breakdown"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6654800"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Engagement</a:t>
                  </a:r>
                </a:p>
                <a:p>
                  <a:pPr algn="ctr" rtl="0">
                    <a:defRPr sz="1000"/>
                  </a:pPr>
                  <a:r>
                    <a:rPr lang="en-GB" sz="1200" b="0" i="0" u="none" strike="noStrike" baseline="0">
                      <a:solidFill>
                        <a:srgbClr val="000000"/>
                      </a:solidFill>
                      <a:latin typeface="Arial"/>
                      <a:cs typeface="Arial"/>
                    </a:rPr>
                    <a:t>Breakdown </a:t>
                  </a:r>
                </a:p>
              </xdr:txBody>
            </xdr:sp>
          </mc:Choice>
          <mc:Fallback/>
        </mc:AlternateContent>
        <mc:AlternateContent xmlns:mc="http://schemas.openxmlformats.org/markup-compatibility/2006">
          <mc:Choice xmlns:a14="http://schemas.microsoft.com/office/drawing/2010/main" Requires="a14">
            <xdr:sp macro="" textlink="">
              <xdr:nvSpPr>
                <xdr:cNvPr id="3080" name="Scor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8043968"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All Engagement Scores</a:t>
                  </a:r>
                </a:p>
              </xdr:txBody>
            </xdr:sp>
          </mc:Choice>
          <mc:Fallback/>
        </mc:AlternateContent>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5905498" y="878414"/>
            <a:ext cx="6662212" cy="1206000"/>
            <a:chOff x="5831415" y="878414"/>
            <a:chExt cx="6662212" cy="1206000"/>
          </a:xfrm>
        </xdr:grpSpPr>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6586005" y="878414"/>
              <a:ext cx="4854578" cy="12060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400"/>
            </a:p>
            <a:p>
              <a:r>
                <a:rPr lang="en-GB" sz="1300"/>
                <a:t>Region (Geo):</a:t>
              </a:r>
            </a:p>
            <a:p>
              <a:endParaRPr lang="en-GB" sz="400"/>
            </a:p>
            <a:p>
              <a:r>
                <a:rPr lang="en-GB" sz="1300"/>
                <a:t>ICB:	</a:t>
              </a:r>
            </a:p>
            <a:p>
              <a:endParaRPr lang="en-GB" sz="400"/>
            </a:p>
            <a:p>
              <a:r>
                <a:rPr lang="en-GB" sz="1300"/>
                <a:t>Organisation:</a:t>
              </a:r>
            </a:p>
            <a:p>
              <a:endParaRPr lang="en-GB" sz="500"/>
            </a:p>
            <a:p>
              <a:r>
                <a:rPr lang="en-GB" sz="1300"/>
                <a:t>Care Setting:</a:t>
              </a:r>
            </a:p>
            <a:p>
              <a:endParaRPr lang="en-GB" sz="1300"/>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5831415" y="1170766"/>
              <a:ext cx="876300" cy="305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mc:AlternateContent xmlns:mc="http://schemas.openxmlformats.org/markup-compatibility/2006">
          <mc:Choice xmlns:a14="http://schemas.microsoft.com/office/drawing/2010/main" Requires="a14">
            <xdr:sp macro="" textlink="">
              <xdr:nvSpPr>
                <xdr:cNvPr id="3081" name="Region code"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7724775" y="931332"/>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2" name="Reset"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1541127" y="931332"/>
                  <a:ext cx="952500" cy="32385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83" name="Region nam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8420100" y="931332"/>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4" name="STP Code"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7724775" y="1207557"/>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5" name="STP Name"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8420100" y="1207557"/>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6" name="Org Cod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7724775" y="1494366"/>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7" name="Org Name"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8420100" y="1494366"/>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8" name="Setting"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7724775" y="1782232"/>
                  <a:ext cx="2066925" cy="23812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5" name="Group 4">
            <a:extLst>
              <a:ext uri="{FF2B5EF4-FFF2-40B4-BE49-F238E27FC236}">
                <a16:creationId xmlns:a16="http://schemas.microsoft.com/office/drawing/2014/main" id="{00000000-0008-0000-0200-000005000000}"/>
              </a:ext>
            </a:extLst>
          </xdr:cNvPr>
          <xdr:cNvGrpSpPr/>
        </xdr:nvGrpSpPr>
        <xdr:grpSpPr>
          <a:xfrm>
            <a:off x="603250" y="846667"/>
            <a:ext cx="4339166" cy="804334"/>
            <a:chOff x="560917" y="836084"/>
            <a:chExt cx="4339166" cy="804334"/>
          </a:xfrm>
        </xdr:grpSpPr>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582083" y="836084"/>
              <a:ext cx="4318000" cy="804334"/>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400"/>
            </a:p>
          </xdr:txBody>
        </xdr:sp>
        <mc:AlternateContent xmlns:mc="http://schemas.openxmlformats.org/markup-compatibility/2006">
          <mc:Choice xmlns:a14="http://schemas.microsoft.com/office/drawing/2010/main" Requires="a14">
            <xdr:sp macro="" textlink="">
              <xdr:nvSpPr>
                <xdr:cNvPr id="3089" name="Drop Down Sort"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1683808" y="941917"/>
                  <a:ext cx="1943100"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90" name="sort"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3879849" y="920748"/>
                  <a:ext cx="945092" cy="32385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91" name="Low"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1464733" y="1256242"/>
                  <a:ext cx="1095375"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92" name="High"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2693458" y="1275292"/>
                  <a:ext cx="962025"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560917" y="899584"/>
              <a:ext cx="1047750" cy="295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1</xdr:row>
      <xdr:rowOff>0</xdr:rowOff>
    </xdr:from>
    <xdr:to>
      <xdr:col>5</xdr:col>
      <xdr:colOff>5171806</xdr:colOff>
      <xdr:row>5</xdr:row>
      <xdr:rowOff>28971</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647700" y="190500"/>
          <a:ext cx="14334856" cy="2038746"/>
          <a:chOff x="603250" y="45245"/>
          <a:chExt cx="14300143" cy="2039169"/>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a:off x="625793" y="45245"/>
            <a:ext cx="14277600" cy="727200"/>
            <a:chOff x="625793" y="45245"/>
            <a:chExt cx="14277600" cy="727200"/>
          </a:xfrm>
        </xdr:grpSpPr>
        <mc:AlternateContent xmlns:mc="http://schemas.openxmlformats.org/markup-compatibility/2006">
          <mc:Choice xmlns:a14="http://schemas.microsoft.com/office/drawing/2010/main" Requires="a14">
            <xdr:sp macro="" textlink="">
              <xdr:nvSpPr>
                <xdr:cNvPr id="4097" name="Engagement"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9433136"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Engagement </a:t>
                  </a:r>
                </a:p>
              </xdr:txBody>
            </xdr:sp>
          </mc:Choice>
          <mc:Fallback/>
        </mc:AlternateContent>
        <mc:AlternateContent xmlns:mc="http://schemas.openxmlformats.org/markup-compatibility/2006">
          <mc:Choice xmlns:a14="http://schemas.microsoft.com/office/drawing/2010/main" Requires="a14">
            <xdr:sp macro="" textlink="">
              <xdr:nvSpPr>
                <xdr:cNvPr id="4098" name="Advocacy"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10822304"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Advocacy</a:t>
                  </a:r>
                </a:p>
              </xdr:txBody>
            </xdr:sp>
          </mc:Choice>
          <mc:Fallback/>
        </mc:AlternateContent>
        <mc:AlternateContent xmlns:mc="http://schemas.openxmlformats.org/markup-compatibility/2006">
          <mc:Choice xmlns:a14="http://schemas.microsoft.com/office/drawing/2010/main" Requires="a14">
            <xdr:sp macro="" textlink="">
              <xdr:nvSpPr>
                <xdr:cNvPr id="4099" name="Notes"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916337"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mc:Choice>
          <mc:Fallback/>
        </mc:AlternateContent>
        <xdr:sp macro="" textlink="">
          <xdr:nvSpPr>
            <xdr:cNvPr id="25" name="TextBox 24">
              <a:extLst>
                <a:ext uri="{FF2B5EF4-FFF2-40B4-BE49-F238E27FC236}">
                  <a16:creationId xmlns:a16="http://schemas.microsoft.com/office/drawing/2014/main" id="{00000000-0008-0000-0600-000019000000}"/>
                </a:ext>
              </a:extLst>
            </xdr:cNvPr>
            <xdr:cNvSpPr txBox="1"/>
          </xdr:nvSpPr>
          <xdr:spPr>
            <a:xfrm>
              <a:off x="5507020" y="179091"/>
              <a:ext cx="1805354" cy="412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sp macro="" textlink="">
          <xdr:nvSpPr>
            <xdr:cNvPr id="26" name="Rectangle 25">
              <a:extLst>
                <a:ext uri="{FF2B5EF4-FFF2-40B4-BE49-F238E27FC236}">
                  <a16:creationId xmlns:a16="http://schemas.microsoft.com/office/drawing/2014/main" id="{00000000-0008-0000-0600-00001A000000}"/>
                </a:ext>
              </a:extLst>
            </xdr:cNvPr>
            <xdr:cNvSpPr/>
          </xdr:nvSpPr>
          <xdr:spPr>
            <a:xfrm>
              <a:off x="625793" y="45245"/>
              <a:ext cx="14277600" cy="727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4100" name="Summary"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2347383"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mc:AlternateContent xmlns:mc="http://schemas.openxmlformats.org/markup-compatibility/2006">
          <mc:Choice xmlns:a14="http://schemas.microsoft.com/office/drawing/2010/main" Requires="a14">
            <xdr:sp macro="" textlink="">
              <xdr:nvSpPr>
                <xdr:cNvPr id="4101" name="Involvement"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12211472"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Involvement</a:t>
                  </a:r>
                </a:p>
              </xdr:txBody>
            </xdr:sp>
          </mc:Choice>
          <mc:Fallback/>
        </mc:AlternateContent>
        <mc:AlternateContent xmlns:mc="http://schemas.openxmlformats.org/markup-compatibility/2006">
          <mc:Choice xmlns:a14="http://schemas.microsoft.com/office/drawing/2010/main" Requires="a14">
            <xdr:sp macro="" textlink="">
              <xdr:nvSpPr>
                <xdr:cNvPr id="4102" name="Motivation"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13600641" y="163900"/>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Motivation</a:t>
                  </a:r>
                </a:p>
              </xdr:txBody>
            </xdr:sp>
          </mc:Choice>
          <mc:Fallback/>
        </mc:AlternateContent>
        <mc:AlternateContent xmlns:mc="http://schemas.openxmlformats.org/markup-compatibility/2006">
          <mc:Choice xmlns:a14="http://schemas.microsoft.com/office/drawing/2010/main" Requires="a14">
            <xdr:sp macro="" textlink="">
              <xdr:nvSpPr>
                <xdr:cNvPr id="4103" name="Breakdown"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6654800"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Engagement</a:t>
                  </a:r>
                </a:p>
                <a:p>
                  <a:pPr algn="ctr" rtl="0">
                    <a:defRPr sz="1000"/>
                  </a:pPr>
                  <a:r>
                    <a:rPr lang="en-GB" sz="1200" b="0" i="0" u="none" strike="noStrike" baseline="0">
                      <a:solidFill>
                        <a:srgbClr val="000000"/>
                      </a:solidFill>
                      <a:latin typeface="Arial"/>
                      <a:cs typeface="Arial"/>
                    </a:rPr>
                    <a:t>Breakdown </a:t>
                  </a:r>
                </a:p>
              </xdr:txBody>
            </xdr:sp>
          </mc:Choice>
          <mc:Fallback/>
        </mc:AlternateContent>
        <mc:AlternateContent xmlns:mc="http://schemas.openxmlformats.org/markup-compatibility/2006">
          <mc:Choice xmlns:a14="http://schemas.microsoft.com/office/drawing/2010/main" Requires="a14">
            <xdr:sp macro="" textlink="">
              <xdr:nvSpPr>
                <xdr:cNvPr id="4104" name="Scores"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8043968"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All Engagement Scores</a:t>
                  </a:r>
                </a:p>
              </xdr:txBody>
            </xdr:sp>
          </mc:Choice>
          <mc:Fallback/>
        </mc:AlternateContent>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905498" y="878414"/>
            <a:ext cx="6662211" cy="1206000"/>
            <a:chOff x="5831415" y="878414"/>
            <a:chExt cx="6662211" cy="1206000"/>
          </a:xfrm>
        </xdr:grpSpPr>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6586005" y="878414"/>
              <a:ext cx="4854578" cy="12060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400"/>
            </a:p>
            <a:p>
              <a:r>
                <a:rPr lang="en-GB" sz="1300"/>
                <a:t>Region (Geo):</a:t>
              </a:r>
            </a:p>
            <a:p>
              <a:endParaRPr lang="en-GB" sz="400"/>
            </a:p>
            <a:p>
              <a:r>
                <a:rPr lang="en-GB" sz="1300"/>
                <a:t>ICB:	</a:t>
              </a:r>
            </a:p>
            <a:p>
              <a:endParaRPr lang="en-GB" sz="400"/>
            </a:p>
            <a:p>
              <a:r>
                <a:rPr lang="en-GB" sz="1300"/>
                <a:t>Organisation:</a:t>
              </a:r>
            </a:p>
            <a:p>
              <a:endParaRPr lang="en-GB" sz="500"/>
            </a:p>
            <a:p>
              <a:r>
                <a:rPr lang="en-GB" sz="1300"/>
                <a:t>Care Setting:</a:t>
              </a:r>
            </a:p>
            <a:p>
              <a:endParaRPr lang="en-GB" sz="1300"/>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5831415" y="1170766"/>
              <a:ext cx="876300" cy="305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mc:AlternateContent xmlns:mc="http://schemas.openxmlformats.org/markup-compatibility/2006">
          <mc:Choice xmlns:a14="http://schemas.microsoft.com/office/drawing/2010/main" Requires="a14">
            <xdr:sp macro="" textlink="">
              <xdr:nvSpPr>
                <xdr:cNvPr id="4105" name="Region code" hidden="1">
                  <a:extLst>
                    <a:ext uri="{63B3BB69-23CF-44E3-9099-C40C66FF867C}">
                      <a14:compatExt spid="_x0000_s4105"/>
                    </a:ext>
                    <a:ext uri="{FF2B5EF4-FFF2-40B4-BE49-F238E27FC236}">
                      <a16:creationId xmlns:a16="http://schemas.microsoft.com/office/drawing/2014/main" id="{00000000-0008-0000-0600-000009100000}"/>
                    </a:ext>
                  </a:extLst>
                </xdr:cNvPr>
                <xdr:cNvSpPr/>
              </xdr:nvSpPr>
              <xdr:spPr bwMode="auto">
                <a:xfrm>
                  <a:off x="7724775" y="931332"/>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6" name="Reset"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11541126" y="931332"/>
                  <a:ext cx="952500" cy="32385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7" name="Region name" hidden="1">
                  <a:extLst>
                    <a:ext uri="{63B3BB69-23CF-44E3-9099-C40C66FF867C}">
                      <a14:compatExt spid="_x0000_s4107"/>
                    </a:ext>
                    <a:ext uri="{FF2B5EF4-FFF2-40B4-BE49-F238E27FC236}">
                      <a16:creationId xmlns:a16="http://schemas.microsoft.com/office/drawing/2014/main" id="{00000000-0008-0000-0600-00000B100000}"/>
                    </a:ext>
                  </a:extLst>
                </xdr:cNvPr>
                <xdr:cNvSpPr/>
              </xdr:nvSpPr>
              <xdr:spPr bwMode="auto">
                <a:xfrm>
                  <a:off x="8420100" y="931332"/>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8" name="STP Code" hidden="1">
                  <a:extLst>
                    <a:ext uri="{63B3BB69-23CF-44E3-9099-C40C66FF867C}">
                      <a14:compatExt spid="_x0000_s4108"/>
                    </a:ext>
                    <a:ext uri="{FF2B5EF4-FFF2-40B4-BE49-F238E27FC236}">
                      <a16:creationId xmlns:a16="http://schemas.microsoft.com/office/drawing/2014/main" id="{00000000-0008-0000-0600-00000C100000}"/>
                    </a:ext>
                  </a:extLst>
                </xdr:cNvPr>
                <xdr:cNvSpPr/>
              </xdr:nvSpPr>
              <xdr:spPr bwMode="auto">
                <a:xfrm>
                  <a:off x="7724775" y="1207557"/>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9" name="STP Name" hidden="1">
                  <a:extLst>
                    <a:ext uri="{63B3BB69-23CF-44E3-9099-C40C66FF867C}">
                      <a14:compatExt spid="_x0000_s4109"/>
                    </a:ext>
                    <a:ext uri="{FF2B5EF4-FFF2-40B4-BE49-F238E27FC236}">
                      <a16:creationId xmlns:a16="http://schemas.microsoft.com/office/drawing/2014/main" id="{00000000-0008-0000-0600-00000D100000}"/>
                    </a:ext>
                  </a:extLst>
                </xdr:cNvPr>
                <xdr:cNvSpPr/>
              </xdr:nvSpPr>
              <xdr:spPr bwMode="auto">
                <a:xfrm>
                  <a:off x="8420100" y="1207557"/>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0" name="Org Code" hidden="1">
                  <a:extLst>
                    <a:ext uri="{63B3BB69-23CF-44E3-9099-C40C66FF867C}">
                      <a14:compatExt spid="_x0000_s4110"/>
                    </a:ext>
                    <a:ext uri="{FF2B5EF4-FFF2-40B4-BE49-F238E27FC236}">
                      <a16:creationId xmlns:a16="http://schemas.microsoft.com/office/drawing/2014/main" id="{00000000-0008-0000-0600-00000E100000}"/>
                    </a:ext>
                  </a:extLst>
                </xdr:cNvPr>
                <xdr:cNvSpPr/>
              </xdr:nvSpPr>
              <xdr:spPr bwMode="auto">
                <a:xfrm>
                  <a:off x="7724775" y="1494366"/>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1" name="Org Name" hidden="1">
                  <a:extLst>
                    <a:ext uri="{63B3BB69-23CF-44E3-9099-C40C66FF867C}">
                      <a14:compatExt spid="_x0000_s4111"/>
                    </a:ext>
                    <a:ext uri="{FF2B5EF4-FFF2-40B4-BE49-F238E27FC236}">
                      <a16:creationId xmlns:a16="http://schemas.microsoft.com/office/drawing/2014/main" id="{00000000-0008-0000-0600-00000F100000}"/>
                    </a:ext>
                  </a:extLst>
                </xdr:cNvPr>
                <xdr:cNvSpPr/>
              </xdr:nvSpPr>
              <xdr:spPr bwMode="auto">
                <a:xfrm>
                  <a:off x="8420100" y="1494366"/>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2" name="Setting" hidden="1">
                  <a:extLst>
                    <a:ext uri="{63B3BB69-23CF-44E3-9099-C40C66FF867C}">
                      <a14:compatExt spid="_x0000_s4112"/>
                    </a:ext>
                    <a:ext uri="{FF2B5EF4-FFF2-40B4-BE49-F238E27FC236}">
                      <a16:creationId xmlns:a16="http://schemas.microsoft.com/office/drawing/2014/main" id="{00000000-0008-0000-0600-000010100000}"/>
                    </a:ext>
                  </a:extLst>
                </xdr:cNvPr>
                <xdr:cNvSpPr/>
              </xdr:nvSpPr>
              <xdr:spPr bwMode="auto">
                <a:xfrm>
                  <a:off x="7724775" y="1782232"/>
                  <a:ext cx="2066925" cy="23812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5" name="Group 4">
            <a:extLst>
              <a:ext uri="{FF2B5EF4-FFF2-40B4-BE49-F238E27FC236}">
                <a16:creationId xmlns:a16="http://schemas.microsoft.com/office/drawing/2014/main" id="{00000000-0008-0000-0600-000005000000}"/>
              </a:ext>
            </a:extLst>
          </xdr:cNvPr>
          <xdr:cNvGrpSpPr/>
        </xdr:nvGrpSpPr>
        <xdr:grpSpPr>
          <a:xfrm>
            <a:off x="603250" y="846667"/>
            <a:ext cx="4339166" cy="804334"/>
            <a:chOff x="560917" y="836084"/>
            <a:chExt cx="4339166" cy="804334"/>
          </a:xfrm>
        </xdr:grpSpPr>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582083" y="836084"/>
              <a:ext cx="4318000" cy="804334"/>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400"/>
            </a:p>
          </xdr:txBody>
        </xdr:sp>
        <mc:AlternateContent xmlns:mc="http://schemas.openxmlformats.org/markup-compatibility/2006">
          <mc:Choice xmlns:a14="http://schemas.microsoft.com/office/drawing/2010/main" Requires="a14">
            <xdr:sp macro="" textlink="">
              <xdr:nvSpPr>
                <xdr:cNvPr id="4113" name="Drop Down Sort" hidden="1">
                  <a:extLst>
                    <a:ext uri="{63B3BB69-23CF-44E3-9099-C40C66FF867C}">
                      <a14:compatExt spid="_x0000_s4113"/>
                    </a:ext>
                    <a:ext uri="{FF2B5EF4-FFF2-40B4-BE49-F238E27FC236}">
                      <a16:creationId xmlns:a16="http://schemas.microsoft.com/office/drawing/2014/main" id="{00000000-0008-0000-0600-000011100000}"/>
                    </a:ext>
                  </a:extLst>
                </xdr:cNvPr>
                <xdr:cNvSpPr/>
              </xdr:nvSpPr>
              <xdr:spPr bwMode="auto">
                <a:xfrm>
                  <a:off x="1683808" y="941917"/>
                  <a:ext cx="1943100"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4" name="sort" hidden="1">
                  <a:extLst>
                    <a:ext uri="{63B3BB69-23CF-44E3-9099-C40C66FF867C}">
                      <a14:compatExt spid="_x0000_s4114"/>
                    </a:ext>
                    <a:ext uri="{FF2B5EF4-FFF2-40B4-BE49-F238E27FC236}">
                      <a16:creationId xmlns:a16="http://schemas.microsoft.com/office/drawing/2014/main" id="{00000000-0008-0000-0600-000012100000}"/>
                    </a:ext>
                  </a:extLst>
                </xdr:cNvPr>
                <xdr:cNvSpPr/>
              </xdr:nvSpPr>
              <xdr:spPr bwMode="auto">
                <a:xfrm>
                  <a:off x="3879849" y="920748"/>
                  <a:ext cx="945092" cy="32385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15" name="Low" hidden="1">
                  <a:extLst>
                    <a:ext uri="{63B3BB69-23CF-44E3-9099-C40C66FF867C}">
                      <a14:compatExt spid="_x0000_s4115"/>
                    </a:ext>
                    <a:ext uri="{FF2B5EF4-FFF2-40B4-BE49-F238E27FC236}">
                      <a16:creationId xmlns:a16="http://schemas.microsoft.com/office/drawing/2014/main" id="{00000000-0008-0000-0600-000013100000}"/>
                    </a:ext>
                  </a:extLst>
                </xdr:cNvPr>
                <xdr:cNvSpPr/>
              </xdr:nvSpPr>
              <xdr:spPr bwMode="auto">
                <a:xfrm>
                  <a:off x="1464733" y="1256242"/>
                  <a:ext cx="1095375"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16" name="High" hidden="1">
                  <a:extLst>
                    <a:ext uri="{63B3BB69-23CF-44E3-9099-C40C66FF867C}">
                      <a14:compatExt spid="_x0000_s4116"/>
                    </a:ext>
                    <a:ext uri="{FF2B5EF4-FFF2-40B4-BE49-F238E27FC236}">
                      <a16:creationId xmlns:a16="http://schemas.microsoft.com/office/drawing/2014/main" id="{00000000-0008-0000-0600-000014100000}"/>
                    </a:ext>
                  </a:extLst>
                </xdr:cNvPr>
                <xdr:cNvSpPr/>
              </xdr:nvSpPr>
              <xdr:spPr bwMode="auto">
                <a:xfrm>
                  <a:off x="2693458" y="1275292"/>
                  <a:ext cx="962025"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560917" y="899584"/>
              <a:ext cx="1047750" cy="295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1</xdr:row>
      <xdr:rowOff>0</xdr:rowOff>
    </xdr:from>
    <xdr:to>
      <xdr:col>5</xdr:col>
      <xdr:colOff>5169901</xdr:colOff>
      <xdr:row>5</xdr:row>
      <xdr:rowOff>28971</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647700" y="190500"/>
          <a:ext cx="14332951" cy="2038746"/>
          <a:chOff x="603250" y="45245"/>
          <a:chExt cx="14300143" cy="2039169"/>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625793" y="45245"/>
            <a:ext cx="14277600" cy="727200"/>
            <a:chOff x="625793" y="45245"/>
            <a:chExt cx="14277600" cy="727200"/>
          </a:xfrm>
        </xdr:grpSpPr>
        <mc:AlternateContent xmlns:mc="http://schemas.openxmlformats.org/markup-compatibility/2006">
          <mc:Choice xmlns:a14="http://schemas.microsoft.com/office/drawing/2010/main" Requires="a14">
            <xdr:sp macro="" textlink="">
              <xdr:nvSpPr>
                <xdr:cNvPr id="5121" name="Engagement"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9433136"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Engagement </a:t>
                  </a:r>
                </a:p>
              </xdr:txBody>
            </xdr:sp>
          </mc:Choice>
          <mc:Fallback/>
        </mc:AlternateContent>
        <mc:AlternateContent xmlns:mc="http://schemas.openxmlformats.org/markup-compatibility/2006">
          <mc:Choice xmlns:a14="http://schemas.microsoft.com/office/drawing/2010/main" Requires="a14">
            <xdr:sp macro="" textlink="">
              <xdr:nvSpPr>
                <xdr:cNvPr id="5122" name="Advocacy"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10822304"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Advocacy</a:t>
                  </a:r>
                </a:p>
              </xdr:txBody>
            </xdr:sp>
          </mc:Choice>
          <mc:Fallback/>
        </mc:AlternateContent>
        <mc:AlternateContent xmlns:mc="http://schemas.openxmlformats.org/markup-compatibility/2006">
          <mc:Choice xmlns:a14="http://schemas.microsoft.com/office/drawing/2010/main" Requires="a14">
            <xdr:sp macro="" textlink="">
              <xdr:nvSpPr>
                <xdr:cNvPr id="5123" name="Not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916337"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mc:Choice>
          <mc:Fallback/>
        </mc:AlternateContent>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5507020" y="179091"/>
              <a:ext cx="1805354" cy="412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sp macro="" textlink="">
          <xdr:nvSpPr>
            <xdr:cNvPr id="26" name="Rectangle 25">
              <a:extLst>
                <a:ext uri="{FF2B5EF4-FFF2-40B4-BE49-F238E27FC236}">
                  <a16:creationId xmlns:a16="http://schemas.microsoft.com/office/drawing/2014/main" id="{00000000-0008-0000-0300-00001A000000}"/>
                </a:ext>
              </a:extLst>
            </xdr:cNvPr>
            <xdr:cNvSpPr/>
          </xdr:nvSpPr>
          <xdr:spPr>
            <a:xfrm>
              <a:off x="625793" y="45245"/>
              <a:ext cx="14277600" cy="727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5124" name="Summary"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2347383"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mc:AlternateContent xmlns:mc="http://schemas.openxmlformats.org/markup-compatibility/2006">
          <mc:Choice xmlns:a14="http://schemas.microsoft.com/office/drawing/2010/main" Requires="a14">
            <xdr:sp macro="" textlink="">
              <xdr:nvSpPr>
                <xdr:cNvPr id="5125" name="Involvement"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12211472"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Involvement</a:t>
                  </a:r>
                </a:p>
              </xdr:txBody>
            </xdr:sp>
          </mc:Choice>
          <mc:Fallback/>
        </mc:AlternateContent>
        <mc:AlternateContent xmlns:mc="http://schemas.openxmlformats.org/markup-compatibility/2006">
          <mc:Choice xmlns:a14="http://schemas.microsoft.com/office/drawing/2010/main" Requires="a14">
            <xdr:sp macro="" textlink="">
              <xdr:nvSpPr>
                <xdr:cNvPr id="5126" name="Motivation"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13600641" y="163900"/>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Motivation</a:t>
                  </a:r>
                </a:p>
              </xdr:txBody>
            </xdr:sp>
          </mc:Choice>
          <mc:Fallback/>
        </mc:AlternateContent>
        <mc:AlternateContent xmlns:mc="http://schemas.openxmlformats.org/markup-compatibility/2006">
          <mc:Choice xmlns:a14="http://schemas.microsoft.com/office/drawing/2010/main" Requires="a14">
            <xdr:sp macro="" textlink="">
              <xdr:nvSpPr>
                <xdr:cNvPr id="5127" name="Breakdown"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6654800"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Engagement</a:t>
                  </a:r>
                </a:p>
                <a:p>
                  <a:pPr algn="ctr" rtl="0">
                    <a:defRPr sz="1000"/>
                  </a:pPr>
                  <a:r>
                    <a:rPr lang="en-GB" sz="1200" b="0" i="0" u="none" strike="noStrike" baseline="0">
                      <a:solidFill>
                        <a:srgbClr val="000000"/>
                      </a:solidFill>
                      <a:latin typeface="Arial"/>
                      <a:cs typeface="Arial"/>
                    </a:rPr>
                    <a:t>Breakdown </a:t>
                  </a:r>
                </a:p>
              </xdr:txBody>
            </xdr:sp>
          </mc:Choice>
          <mc:Fallback/>
        </mc:AlternateContent>
        <mc:AlternateContent xmlns:mc="http://schemas.openxmlformats.org/markup-compatibility/2006">
          <mc:Choice xmlns:a14="http://schemas.microsoft.com/office/drawing/2010/main" Requires="a14">
            <xdr:sp macro="" textlink="">
              <xdr:nvSpPr>
                <xdr:cNvPr id="5128" name="Scores"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8043968"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All Engagement Scores</a:t>
                  </a:r>
                </a:p>
              </xdr:txBody>
            </xdr:sp>
          </mc:Choice>
          <mc:Fallback/>
        </mc:AlternateContent>
      </xdr:grpSp>
      <xdr:grpSp>
        <xdr:nvGrpSpPr>
          <xdr:cNvPr id="4" name="Group 3">
            <a:extLst>
              <a:ext uri="{FF2B5EF4-FFF2-40B4-BE49-F238E27FC236}">
                <a16:creationId xmlns:a16="http://schemas.microsoft.com/office/drawing/2014/main" id="{00000000-0008-0000-0300-000004000000}"/>
              </a:ext>
            </a:extLst>
          </xdr:cNvPr>
          <xdr:cNvGrpSpPr/>
        </xdr:nvGrpSpPr>
        <xdr:grpSpPr>
          <a:xfrm>
            <a:off x="5905498" y="878414"/>
            <a:ext cx="6662200" cy="1206000"/>
            <a:chOff x="5831415" y="878414"/>
            <a:chExt cx="6662200" cy="1206000"/>
          </a:xfrm>
        </xdr:grpSpPr>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6586005" y="878414"/>
              <a:ext cx="4854578" cy="12060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400"/>
            </a:p>
            <a:p>
              <a:r>
                <a:rPr lang="en-GB" sz="1300"/>
                <a:t>Region (Geo):</a:t>
              </a:r>
            </a:p>
            <a:p>
              <a:endParaRPr lang="en-GB" sz="400"/>
            </a:p>
            <a:p>
              <a:r>
                <a:rPr lang="en-GB" sz="1300"/>
                <a:t>ICB:	</a:t>
              </a:r>
            </a:p>
            <a:p>
              <a:endParaRPr lang="en-GB" sz="400"/>
            </a:p>
            <a:p>
              <a:r>
                <a:rPr lang="en-GB" sz="1300"/>
                <a:t>Organisation:</a:t>
              </a:r>
            </a:p>
            <a:p>
              <a:endParaRPr lang="en-GB" sz="500"/>
            </a:p>
            <a:p>
              <a:r>
                <a:rPr lang="en-GB" sz="1300"/>
                <a:t>Care Setting:</a:t>
              </a:r>
            </a:p>
            <a:p>
              <a:endParaRPr lang="en-GB" sz="1300"/>
            </a:p>
          </xdr:txBody>
        </xdr:sp>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5831415" y="1170766"/>
              <a:ext cx="876300" cy="305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mc:AlternateContent xmlns:mc="http://schemas.openxmlformats.org/markup-compatibility/2006">
          <mc:Choice xmlns:a14="http://schemas.microsoft.com/office/drawing/2010/main" Requires="a14">
            <xdr:sp macro="" textlink="">
              <xdr:nvSpPr>
                <xdr:cNvPr id="5129" name="Region code"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7724775" y="931332"/>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0" name="Reset"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11541115" y="931332"/>
                  <a:ext cx="952500" cy="32385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31" name="Region name"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8420100" y="931332"/>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2" name="STP Cod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7724775" y="1207557"/>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3" name="STP Name"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8420100" y="1207557"/>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4" name="Org Code"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7724775" y="1494366"/>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5" name="Org Name"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8420100" y="1494366"/>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6" name="Setting"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7724775" y="1782232"/>
                  <a:ext cx="2066925" cy="23812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03250" y="846667"/>
            <a:ext cx="4339166" cy="804334"/>
            <a:chOff x="560917" y="836084"/>
            <a:chExt cx="4339166" cy="804334"/>
          </a:xfrm>
        </xdr:grpSpPr>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582083" y="836084"/>
              <a:ext cx="4318000" cy="804334"/>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400"/>
            </a:p>
          </xdr:txBody>
        </xdr:sp>
        <mc:AlternateContent xmlns:mc="http://schemas.openxmlformats.org/markup-compatibility/2006">
          <mc:Choice xmlns:a14="http://schemas.microsoft.com/office/drawing/2010/main" Requires="a14">
            <xdr:sp macro="" textlink="">
              <xdr:nvSpPr>
                <xdr:cNvPr id="5137" name="Drop Down Sort"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1683808" y="941917"/>
                  <a:ext cx="1943100"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8" name="sort"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3879849" y="920748"/>
                  <a:ext cx="945092" cy="32385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39" name="Low" hidden="1">
                  <a:extLst>
                    <a:ext uri="{63B3BB69-23CF-44E3-9099-C40C66FF867C}">
                      <a14:compatExt spid="_x0000_s5139"/>
                    </a:ext>
                    <a:ext uri="{FF2B5EF4-FFF2-40B4-BE49-F238E27FC236}">
                      <a16:creationId xmlns:a16="http://schemas.microsoft.com/office/drawing/2014/main" id="{00000000-0008-0000-0300-000013140000}"/>
                    </a:ext>
                  </a:extLst>
                </xdr:cNvPr>
                <xdr:cNvSpPr/>
              </xdr:nvSpPr>
              <xdr:spPr bwMode="auto">
                <a:xfrm>
                  <a:off x="1464733" y="1256242"/>
                  <a:ext cx="1095375"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40" name="High" hidden="1">
                  <a:extLst>
                    <a:ext uri="{63B3BB69-23CF-44E3-9099-C40C66FF867C}">
                      <a14:compatExt spid="_x0000_s5140"/>
                    </a:ext>
                    <a:ext uri="{FF2B5EF4-FFF2-40B4-BE49-F238E27FC236}">
                      <a16:creationId xmlns:a16="http://schemas.microsoft.com/office/drawing/2014/main" id="{00000000-0008-0000-0300-000014140000}"/>
                    </a:ext>
                  </a:extLst>
                </xdr:cNvPr>
                <xdr:cNvSpPr/>
              </xdr:nvSpPr>
              <xdr:spPr bwMode="auto">
                <a:xfrm>
                  <a:off x="2693458" y="1275292"/>
                  <a:ext cx="962025"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560917" y="899584"/>
              <a:ext cx="1047750" cy="295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9525</xdr:colOff>
      <xdr:row>1</xdr:row>
      <xdr:rowOff>0</xdr:rowOff>
    </xdr:from>
    <xdr:to>
      <xdr:col>5</xdr:col>
      <xdr:colOff>5171806</xdr:colOff>
      <xdr:row>5</xdr:row>
      <xdr:rowOff>28971</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647700" y="190500"/>
          <a:ext cx="14334856" cy="2038746"/>
          <a:chOff x="603250" y="45245"/>
          <a:chExt cx="14300143" cy="2039169"/>
        </a:xfrm>
      </xdr:grpSpPr>
      <xdr:grpSp>
        <xdr:nvGrpSpPr>
          <xdr:cNvPr id="3" name="Group 2">
            <a:extLst>
              <a:ext uri="{FF2B5EF4-FFF2-40B4-BE49-F238E27FC236}">
                <a16:creationId xmlns:a16="http://schemas.microsoft.com/office/drawing/2014/main" id="{00000000-0008-0000-0400-000003000000}"/>
              </a:ext>
            </a:extLst>
          </xdr:cNvPr>
          <xdr:cNvGrpSpPr/>
        </xdr:nvGrpSpPr>
        <xdr:grpSpPr>
          <a:xfrm>
            <a:off x="625793" y="45245"/>
            <a:ext cx="14277600" cy="727200"/>
            <a:chOff x="625793" y="45245"/>
            <a:chExt cx="14277600" cy="727200"/>
          </a:xfrm>
        </xdr:grpSpPr>
        <mc:AlternateContent xmlns:mc="http://schemas.openxmlformats.org/markup-compatibility/2006">
          <mc:Choice xmlns:a14="http://schemas.microsoft.com/office/drawing/2010/main" Requires="a14">
            <xdr:sp macro="" textlink="">
              <xdr:nvSpPr>
                <xdr:cNvPr id="6145" name="Engagement"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9433136"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Engagement </a:t>
                  </a:r>
                </a:p>
              </xdr:txBody>
            </xdr:sp>
          </mc:Choice>
          <mc:Fallback/>
        </mc:AlternateContent>
        <mc:AlternateContent xmlns:mc="http://schemas.openxmlformats.org/markup-compatibility/2006">
          <mc:Choice xmlns:a14="http://schemas.microsoft.com/office/drawing/2010/main" Requires="a14">
            <xdr:sp macro="" textlink="">
              <xdr:nvSpPr>
                <xdr:cNvPr id="6146" name="Advocacy"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10822304"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Advocacy</a:t>
                  </a:r>
                </a:p>
              </xdr:txBody>
            </xdr:sp>
          </mc:Choice>
          <mc:Fallback/>
        </mc:AlternateContent>
        <mc:AlternateContent xmlns:mc="http://schemas.openxmlformats.org/markup-compatibility/2006">
          <mc:Choice xmlns:a14="http://schemas.microsoft.com/office/drawing/2010/main" Requires="a14">
            <xdr:sp macro="" textlink="">
              <xdr:nvSpPr>
                <xdr:cNvPr id="6147" name="Notes"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916337"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mc:Choice>
          <mc:Fallback/>
        </mc:AlternateContent>
        <xdr:sp macro="" textlink="">
          <xdr:nvSpPr>
            <xdr:cNvPr id="25" name="TextBox 24">
              <a:extLst>
                <a:ext uri="{FF2B5EF4-FFF2-40B4-BE49-F238E27FC236}">
                  <a16:creationId xmlns:a16="http://schemas.microsoft.com/office/drawing/2014/main" id="{00000000-0008-0000-0400-000019000000}"/>
                </a:ext>
              </a:extLst>
            </xdr:cNvPr>
            <xdr:cNvSpPr txBox="1"/>
          </xdr:nvSpPr>
          <xdr:spPr>
            <a:xfrm>
              <a:off x="5507020" y="179091"/>
              <a:ext cx="1805354" cy="412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sp macro="" textlink="">
          <xdr:nvSpPr>
            <xdr:cNvPr id="26" name="Rectangle 25">
              <a:extLst>
                <a:ext uri="{FF2B5EF4-FFF2-40B4-BE49-F238E27FC236}">
                  <a16:creationId xmlns:a16="http://schemas.microsoft.com/office/drawing/2014/main" id="{00000000-0008-0000-0400-00001A000000}"/>
                </a:ext>
              </a:extLst>
            </xdr:cNvPr>
            <xdr:cNvSpPr/>
          </xdr:nvSpPr>
          <xdr:spPr>
            <a:xfrm>
              <a:off x="625793" y="45245"/>
              <a:ext cx="14277600" cy="727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6148" name="Summary"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2347383"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mc:AlternateContent xmlns:mc="http://schemas.openxmlformats.org/markup-compatibility/2006">
          <mc:Choice xmlns:a14="http://schemas.microsoft.com/office/drawing/2010/main" Requires="a14">
            <xdr:sp macro="" textlink="">
              <xdr:nvSpPr>
                <xdr:cNvPr id="6149" name="Involvement"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12211472"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Involvement</a:t>
                  </a:r>
                </a:p>
              </xdr:txBody>
            </xdr:sp>
          </mc:Choice>
          <mc:Fallback/>
        </mc:AlternateContent>
        <mc:AlternateContent xmlns:mc="http://schemas.openxmlformats.org/markup-compatibility/2006">
          <mc:Choice xmlns:a14="http://schemas.microsoft.com/office/drawing/2010/main" Requires="a14">
            <xdr:sp macro="" textlink="">
              <xdr:nvSpPr>
                <xdr:cNvPr id="6150" name="Motivation"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13600641" y="163900"/>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Motivation</a:t>
                  </a:r>
                </a:p>
              </xdr:txBody>
            </xdr:sp>
          </mc:Choice>
          <mc:Fallback/>
        </mc:AlternateContent>
        <mc:AlternateContent xmlns:mc="http://schemas.openxmlformats.org/markup-compatibility/2006">
          <mc:Choice xmlns:a14="http://schemas.microsoft.com/office/drawing/2010/main" Requires="a14">
            <xdr:sp macro="" textlink="">
              <xdr:nvSpPr>
                <xdr:cNvPr id="6151" name="Breakdown"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6654800"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Engagement</a:t>
                  </a:r>
                </a:p>
                <a:p>
                  <a:pPr algn="ctr" rtl="0">
                    <a:defRPr sz="1000"/>
                  </a:pPr>
                  <a:r>
                    <a:rPr lang="en-GB" sz="1200" b="0" i="0" u="none" strike="noStrike" baseline="0">
                      <a:solidFill>
                        <a:srgbClr val="000000"/>
                      </a:solidFill>
                      <a:latin typeface="Arial"/>
                      <a:cs typeface="Arial"/>
                    </a:rPr>
                    <a:t>Breakdown </a:t>
                  </a:r>
                </a:p>
              </xdr:txBody>
            </xdr:sp>
          </mc:Choice>
          <mc:Fallback/>
        </mc:AlternateContent>
        <mc:AlternateContent xmlns:mc="http://schemas.openxmlformats.org/markup-compatibility/2006">
          <mc:Choice xmlns:a14="http://schemas.microsoft.com/office/drawing/2010/main" Requires="a14">
            <xdr:sp macro="" textlink="">
              <xdr:nvSpPr>
                <xdr:cNvPr id="6152" name="Scores"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8043968"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All Engagement Scores</a:t>
                  </a:r>
                </a:p>
              </xdr:txBody>
            </xdr:sp>
          </mc:Choice>
          <mc:Fallback/>
        </mc:AlternateContent>
      </xdr:grpSp>
      <xdr:grpSp>
        <xdr:nvGrpSpPr>
          <xdr:cNvPr id="4" name="Group 3">
            <a:extLst>
              <a:ext uri="{FF2B5EF4-FFF2-40B4-BE49-F238E27FC236}">
                <a16:creationId xmlns:a16="http://schemas.microsoft.com/office/drawing/2014/main" id="{00000000-0008-0000-0400-000004000000}"/>
              </a:ext>
            </a:extLst>
          </xdr:cNvPr>
          <xdr:cNvGrpSpPr/>
        </xdr:nvGrpSpPr>
        <xdr:grpSpPr>
          <a:xfrm>
            <a:off x="5905498" y="878414"/>
            <a:ext cx="6662211" cy="1206000"/>
            <a:chOff x="5831415" y="878414"/>
            <a:chExt cx="6662211" cy="1206000"/>
          </a:xfrm>
        </xdr:grpSpPr>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6586005" y="878414"/>
              <a:ext cx="4854578" cy="12060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400"/>
            </a:p>
            <a:p>
              <a:r>
                <a:rPr lang="en-GB" sz="1300"/>
                <a:t>Region (Geo):</a:t>
              </a:r>
            </a:p>
            <a:p>
              <a:endParaRPr lang="en-GB" sz="400"/>
            </a:p>
            <a:p>
              <a:r>
                <a:rPr lang="en-GB" sz="1300"/>
                <a:t>ICB:	</a:t>
              </a:r>
            </a:p>
            <a:p>
              <a:endParaRPr lang="en-GB" sz="400"/>
            </a:p>
            <a:p>
              <a:r>
                <a:rPr lang="en-GB" sz="1300"/>
                <a:t>Organisation:</a:t>
              </a:r>
            </a:p>
            <a:p>
              <a:endParaRPr lang="en-GB" sz="500"/>
            </a:p>
            <a:p>
              <a:r>
                <a:rPr lang="en-GB" sz="1300"/>
                <a:t>Care Setting:</a:t>
              </a:r>
            </a:p>
            <a:p>
              <a:endParaRPr lang="en-GB" sz="1300"/>
            </a:p>
          </xdr:txBody>
        </xdr:sp>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5831415" y="1170766"/>
              <a:ext cx="876300" cy="305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mc:AlternateContent xmlns:mc="http://schemas.openxmlformats.org/markup-compatibility/2006">
          <mc:Choice xmlns:a14="http://schemas.microsoft.com/office/drawing/2010/main" Requires="a14">
            <xdr:sp macro="" textlink="">
              <xdr:nvSpPr>
                <xdr:cNvPr id="6153" name="Region code"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7724775" y="931332"/>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54" name="Reset"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11541126" y="931332"/>
                  <a:ext cx="952500" cy="32385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6155" name="Region name"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8420100" y="931332"/>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56" name="STP Code"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7724775" y="1207557"/>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57" name="STP Name"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8420100" y="1207557"/>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58" name="Org Code"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7724775" y="1494366"/>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59" name="Org Name" hidden="1">
                  <a:extLst>
                    <a:ext uri="{63B3BB69-23CF-44E3-9099-C40C66FF867C}">
                      <a14:compatExt spid="_x0000_s6159"/>
                    </a:ext>
                    <a:ext uri="{FF2B5EF4-FFF2-40B4-BE49-F238E27FC236}">
                      <a16:creationId xmlns:a16="http://schemas.microsoft.com/office/drawing/2014/main" id="{00000000-0008-0000-0400-00000F180000}"/>
                    </a:ext>
                  </a:extLst>
                </xdr:cNvPr>
                <xdr:cNvSpPr/>
              </xdr:nvSpPr>
              <xdr:spPr bwMode="auto">
                <a:xfrm>
                  <a:off x="8420100" y="1494366"/>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60" name="Setting" hidden="1">
                  <a:extLst>
                    <a:ext uri="{63B3BB69-23CF-44E3-9099-C40C66FF867C}">
                      <a14:compatExt spid="_x0000_s6160"/>
                    </a:ext>
                    <a:ext uri="{FF2B5EF4-FFF2-40B4-BE49-F238E27FC236}">
                      <a16:creationId xmlns:a16="http://schemas.microsoft.com/office/drawing/2014/main" id="{00000000-0008-0000-0400-000010180000}"/>
                    </a:ext>
                  </a:extLst>
                </xdr:cNvPr>
                <xdr:cNvSpPr/>
              </xdr:nvSpPr>
              <xdr:spPr bwMode="auto">
                <a:xfrm>
                  <a:off x="7724775" y="1782232"/>
                  <a:ext cx="2066925" cy="23812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5" name="Group 4">
            <a:extLst>
              <a:ext uri="{FF2B5EF4-FFF2-40B4-BE49-F238E27FC236}">
                <a16:creationId xmlns:a16="http://schemas.microsoft.com/office/drawing/2014/main" id="{00000000-0008-0000-0400-000005000000}"/>
              </a:ext>
            </a:extLst>
          </xdr:cNvPr>
          <xdr:cNvGrpSpPr/>
        </xdr:nvGrpSpPr>
        <xdr:grpSpPr>
          <a:xfrm>
            <a:off x="603250" y="846667"/>
            <a:ext cx="4339166" cy="804334"/>
            <a:chOff x="560917" y="836084"/>
            <a:chExt cx="4339166" cy="804334"/>
          </a:xfrm>
        </xdr:grpSpPr>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82083" y="836084"/>
              <a:ext cx="4318000" cy="804334"/>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400"/>
            </a:p>
          </xdr:txBody>
        </xdr:sp>
        <mc:AlternateContent xmlns:mc="http://schemas.openxmlformats.org/markup-compatibility/2006">
          <mc:Choice xmlns:a14="http://schemas.microsoft.com/office/drawing/2010/main" Requires="a14">
            <xdr:sp macro="" textlink="">
              <xdr:nvSpPr>
                <xdr:cNvPr id="6161" name="Drop Down Sort"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1683808" y="941917"/>
                  <a:ext cx="1943100"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6162" name="sort"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3879849" y="920748"/>
                  <a:ext cx="945092" cy="32385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6163" name="Low"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1464733" y="1256242"/>
                  <a:ext cx="1095375"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6164" name="High" hidden="1">
                  <a:extLst>
                    <a:ext uri="{63B3BB69-23CF-44E3-9099-C40C66FF867C}">
                      <a14:compatExt spid="_x0000_s6164"/>
                    </a:ext>
                    <a:ext uri="{FF2B5EF4-FFF2-40B4-BE49-F238E27FC236}">
                      <a16:creationId xmlns:a16="http://schemas.microsoft.com/office/drawing/2014/main" id="{00000000-0008-0000-0400-000014180000}"/>
                    </a:ext>
                  </a:extLst>
                </xdr:cNvPr>
                <xdr:cNvSpPr/>
              </xdr:nvSpPr>
              <xdr:spPr bwMode="auto">
                <a:xfrm>
                  <a:off x="2693458" y="1275292"/>
                  <a:ext cx="962025"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560917" y="899584"/>
              <a:ext cx="1047750" cy="295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9525</xdr:colOff>
      <xdr:row>1</xdr:row>
      <xdr:rowOff>0</xdr:rowOff>
    </xdr:from>
    <xdr:to>
      <xdr:col>5</xdr:col>
      <xdr:colOff>5171806</xdr:colOff>
      <xdr:row>5</xdr:row>
      <xdr:rowOff>28971</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647700" y="190500"/>
          <a:ext cx="14334856" cy="2038746"/>
          <a:chOff x="603250" y="45245"/>
          <a:chExt cx="14300143" cy="2039169"/>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a:off x="625793" y="45245"/>
            <a:ext cx="14277600" cy="727200"/>
            <a:chOff x="625793" y="45245"/>
            <a:chExt cx="14277600" cy="727200"/>
          </a:xfrm>
        </xdr:grpSpPr>
        <mc:AlternateContent xmlns:mc="http://schemas.openxmlformats.org/markup-compatibility/2006">
          <mc:Choice xmlns:a14="http://schemas.microsoft.com/office/drawing/2010/main" Requires="a14">
            <xdr:sp macro="" textlink="">
              <xdr:nvSpPr>
                <xdr:cNvPr id="7169" name="Engagement"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9433136"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Engagement </a:t>
                  </a:r>
                </a:p>
              </xdr:txBody>
            </xdr:sp>
          </mc:Choice>
          <mc:Fallback/>
        </mc:AlternateContent>
        <mc:AlternateContent xmlns:mc="http://schemas.openxmlformats.org/markup-compatibility/2006">
          <mc:Choice xmlns:a14="http://schemas.microsoft.com/office/drawing/2010/main" Requires="a14">
            <xdr:sp macro="" textlink="">
              <xdr:nvSpPr>
                <xdr:cNvPr id="7170" name="Advocacy"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10822304"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Advocacy</a:t>
                  </a:r>
                </a:p>
              </xdr:txBody>
            </xdr:sp>
          </mc:Choice>
          <mc:Fallback/>
        </mc:AlternateContent>
        <mc:AlternateContent xmlns:mc="http://schemas.openxmlformats.org/markup-compatibility/2006">
          <mc:Choice xmlns:a14="http://schemas.microsoft.com/office/drawing/2010/main" Requires="a14">
            <xdr:sp macro="" textlink="">
              <xdr:nvSpPr>
                <xdr:cNvPr id="7171" name="Notes"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916337"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mc:Choice>
          <mc:Fallback/>
        </mc:AlternateContent>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5507020" y="179091"/>
              <a:ext cx="1805354" cy="412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sp macro="" textlink="">
          <xdr:nvSpPr>
            <xdr:cNvPr id="26" name="Rectangle 25">
              <a:extLst>
                <a:ext uri="{FF2B5EF4-FFF2-40B4-BE49-F238E27FC236}">
                  <a16:creationId xmlns:a16="http://schemas.microsoft.com/office/drawing/2014/main" id="{00000000-0008-0000-0500-00001A000000}"/>
                </a:ext>
              </a:extLst>
            </xdr:cNvPr>
            <xdr:cNvSpPr/>
          </xdr:nvSpPr>
          <xdr:spPr>
            <a:xfrm>
              <a:off x="625793" y="45245"/>
              <a:ext cx="14277600" cy="727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7172" name="Summary"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2347383"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mc:AlternateContent xmlns:mc="http://schemas.openxmlformats.org/markup-compatibility/2006">
          <mc:Choice xmlns:a14="http://schemas.microsoft.com/office/drawing/2010/main" Requires="a14">
            <xdr:sp macro="" textlink="">
              <xdr:nvSpPr>
                <xdr:cNvPr id="7173" name="Involvement"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12211472"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Involvement</a:t>
                  </a:r>
                </a:p>
              </xdr:txBody>
            </xdr:sp>
          </mc:Choice>
          <mc:Fallback/>
        </mc:AlternateContent>
        <mc:AlternateContent xmlns:mc="http://schemas.openxmlformats.org/markup-compatibility/2006">
          <mc:Choice xmlns:a14="http://schemas.microsoft.com/office/drawing/2010/main" Requires="a14">
            <xdr:sp macro="" textlink="">
              <xdr:nvSpPr>
                <xdr:cNvPr id="7174" name="Motivation"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13600641" y="163900"/>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Motivation</a:t>
                  </a:r>
                </a:p>
              </xdr:txBody>
            </xdr:sp>
          </mc:Choice>
          <mc:Fallback/>
        </mc:AlternateContent>
        <mc:AlternateContent xmlns:mc="http://schemas.openxmlformats.org/markup-compatibility/2006">
          <mc:Choice xmlns:a14="http://schemas.microsoft.com/office/drawing/2010/main" Requires="a14">
            <xdr:sp macro="" textlink="">
              <xdr:nvSpPr>
                <xdr:cNvPr id="7175" name="Breakdown"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6654800"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Engagement</a:t>
                  </a:r>
                </a:p>
                <a:p>
                  <a:pPr algn="ctr" rtl="0">
                    <a:defRPr sz="1000"/>
                  </a:pPr>
                  <a:r>
                    <a:rPr lang="en-GB" sz="1200" b="0" i="0" u="none" strike="noStrike" baseline="0">
                      <a:solidFill>
                        <a:srgbClr val="000000"/>
                      </a:solidFill>
                      <a:latin typeface="Arial"/>
                      <a:cs typeface="Arial"/>
                    </a:rPr>
                    <a:t>Breakdown </a:t>
                  </a:r>
                </a:p>
              </xdr:txBody>
            </xdr:sp>
          </mc:Choice>
          <mc:Fallback/>
        </mc:AlternateContent>
        <mc:AlternateContent xmlns:mc="http://schemas.openxmlformats.org/markup-compatibility/2006">
          <mc:Choice xmlns:a14="http://schemas.microsoft.com/office/drawing/2010/main" Requires="a14">
            <xdr:sp macro="" textlink="">
              <xdr:nvSpPr>
                <xdr:cNvPr id="7176" name="Scores" hidden="1">
                  <a:extLst>
                    <a:ext uri="{63B3BB69-23CF-44E3-9099-C40C66FF867C}">
                      <a14:compatExt spid="_x0000_s7176"/>
                    </a:ext>
                    <a:ext uri="{FF2B5EF4-FFF2-40B4-BE49-F238E27FC236}">
                      <a16:creationId xmlns:a16="http://schemas.microsoft.com/office/drawing/2014/main" id="{00000000-0008-0000-0500-0000081C0000}"/>
                    </a:ext>
                  </a:extLst>
                </xdr:cNvPr>
                <xdr:cNvSpPr/>
              </xdr:nvSpPr>
              <xdr:spPr bwMode="auto">
                <a:xfrm>
                  <a:off x="8043968" y="155642"/>
                  <a:ext cx="1256400" cy="46440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All Engagement Scores</a:t>
                  </a:r>
                </a:p>
              </xdr:txBody>
            </xdr:sp>
          </mc:Choice>
          <mc:Fallback/>
        </mc:AlternateContent>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905498" y="878414"/>
            <a:ext cx="6662211" cy="1206000"/>
            <a:chOff x="5831415" y="878414"/>
            <a:chExt cx="6662211" cy="1206000"/>
          </a:xfrm>
        </xdr:grpSpPr>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586005" y="878414"/>
              <a:ext cx="4854578" cy="12060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400"/>
            </a:p>
            <a:p>
              <a:r>
                <a:rPr lang="en-GB" sz="1300"/>
                <a:t>Region (Geo):</a:t>
              </a:r>
            </a:p>
            <a:p>
              <a:endParaRPr lang="en-GB" sz="400"/>
            </a:p>
            <a:p>
              <a:r>
                <a:rPr lang="en-GB" sz="1300"/>
                <a:t>ICB:	</a:t>
              </a:r>
            </a:p>
            <a:p>
              <a:endParaRPr lang="en-GB" sz="400"/>
            </a:p>
            <a:p>
              <a:r>
                <a:rPr lang="en-GB" sz="1300"/>
                <a:t>Organisation:</a:t>
              </a:r>
            </a:p>
            <a:p>
              <a:endParaRPr lang="en-GB" sz="500"/>
            </a:p>
            <a:p>
              <a:r>
                <a:rPr lang="en-GB" sz="1300"/>
                <a:t>Care Setting:</a:t>
              </a:r>
            </a:p>
            <a:p>
              <a:endParaRPr lang="en-GB" sz="1300"/>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5831415" y="1170766"/>
              <a:ext cx="876300" cy="305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mc:AlternateContent xmlns:mc="http://schemas.openxmlformats.org/markup-compatibility/2006">
          <mc:Choice xmlns:a14="http://schemas.microsoft.com/office/drawing/2010/main" Requires="a14">
            <xdr:sp macro="" textlink="">
              <xdr:nvSpPr>
                <xdr:cNvPr id="7177" name="Region code" hidden="1">
                  <a:extLst>
                    <a:ext uri="{63B3BB69-23CF-44E3-9099-C40C66FF867C}">
                      <a14:compatExt spid="_x0000_s7177"/>
                    </a:ext>
                    <a:ext uri="{FF2B5EF4-FFF2-40B4-BE49-F238E27FC236}">
                      <a16:creationId xmlns:a16="http://schemas.microsoft.com/office/drawing/2014/main" id="{00000000-0008-0000-0500-0000091C0000}"/>
                    </a:ext>
                  </a:extLst>
                </xdr:cNvPr>
                <xdr:cNvSpPr/>
              </xdr:nvSpPr>
              <xdr:spPr bwMode="auto">
                <a:xfrm>
                  <a:off x="7724775" y="931332"/>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78" name="Reset"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11541126" y="931332"/>
                  <a:ext cx="952500" cy="32385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7179" name="Region name"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8420100" y="931332"/>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80" name="STP Code"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7724775" y="1207557"/>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81" name="STP Name"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8420100" y="1207557"/>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82" name="Org Code"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7724775" y="1494366"/>
                  <a:ext cx="64770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83" name="Org Name"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8420100" y="1494366"/>
                  <a:ext cx="2900892"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84" name="Setting"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7724775" y="1782232"/>
                  <a:ext cx="2066925" cy="238125"/>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nvGrpSpPr>
          <xdr:cNvPr id="5" name="Group 4">
            <a:extLst>
              <a:ext uri="{FF2B5EF4-FFF2-40B4-BE49-F238E27FC236}">
                <a16:creationId xmlns:a16="http://schemas.microsoft.com/office/drawing/2014/main" id="{00000000-0008-0000-0500-000005000000}"/>
              </a:ext>
            </a:extLst>
          </xdr:cNvPr>
          <xdr:cNvGrpSpPr/>
        </xdr:nvGrpSpPr>
        <xdr:grpSpPr>
          <a:xfrm>
            <a:off x="603250" y="846667"/>
            <a:ext cx="4339166" cy="804334"/>
            <a:chOff x="560917" y="836084"/>
            <a:chExt cx="4339166" cy="804334"/>
          </a:xfrm>
        </xdr:grpSpPr>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582083" y="836084"/>
              <a:ext cx="4318000" cy="804334"/>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400"/>
            </a:p>
          </xdr:txBody>
        </xdr:sp>
        <mc:AlternateContent xmlns:mc="http://schemas.openxmlformats.org/markup-compatibility/2006">
          <mc:Choice xmlns:a14="http://schemas.microsoft.com/office/drawing/2010/main" Requires="a14">
            <xdr:sp macro="" textlink="">
              <xdr:nvSpPr>
                <xdr:cNvPr id="7185" name="Drop Down Sort"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1683808" y="941917"/>
                  <a:ext cx="1943100"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86" name="sort"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3879849" y="920748"/>
                  <a:ext cx="945092" cy="32385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7187" name="Low"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1464733" y="1256242"/>
                  <a:ext cx="1095375"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7188" name="High"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2693458" y="1275292"/>
                  <a:ext cx="962025"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560917" y="899584"/>
              <a:ext cx="1047750" cy="295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CW.XSWHealth.nhs.uk\SCW\Home\joe.hughes\Documents\NQPS%20Supression%20Template%20PC%20Q2%202022-23%20(Unprotect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ownloads\philippa.claypole\Downloads\ODS+Change+Summary+ICB+22-+Yr1+Renaming+v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hecks"/>
      <sheetName val="NQPS Notes"/>
      <sheetName val="NQPS Summary"/>
      <sheetName val="NQPS Engagement Score Breakdown"/>
      <sheetName val="NQPS Advocacy"/>
      <sheetName val="NQPS Engagement Score"/>
      <sheetName val="NQPS Involvement"/>
      <sheetName val="NQPS Motivation"/>
      <sheetName val="Calcs"/>
      <sheetName val="Mode"/>
      <sheetName val="HSCIC_Workforce"/>
      <sheetName val="Ref - Orgs"/>
      <sheetName val="NQPS_OverallTotals"/>
      <sheetName val="NQPS_AdvocacyTotals"/>
      <sheetName val="Macro1"/>
      <sheetName val="NQPS_InvolvementTotals"/>
      <sheetName val="NQPS_MotivationTotals"/>
      <sheetName val="Notes"/>
      <sheetName val="Summary"/>
      <sheetName val="Engagement Score Breakdown"/>
      <sheetName val="Question Breakdown"/>
      <sheetName val="Engagement Score"/>
      <sheetName val="Advocacy"/>
      <sheetName val="Involvement"/>
      <sheetName val="Motivation"/>
      <sheetName val="BS"/>
      <sheetName val="temp"/>
      <sheetName val="NQPS Supression Template PC Q2 "/>
    </sheetNames>
    <definedNames>
      <definedName name="MacrosForWebfileForMalwina.Score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Change"/>
      <sheetName val="Pre-July 2022"/>
      <sheetName val="Sheet2"/>
      <sheetName val="Appendix F 1617"/>
      <sheetName val="From July 2022"/>
    </sheetNames>
    <sheetDataSet>
      <sheetData sheetId="0"/>
      <sheetData sheetId="1"/>
      <sheetData sheetId="2"/>
      <sheetData sheetId="3"/>
      <sheetData sheetId="4">
        <row r="10">
          <cell r="D10"/>
          <cell r="E10"/>
        </row>
        <row r="11">
          <cell r="D11" t="str">
            <v>ICB Code</v>
          </cell>
          <cell r="E11" t="str">
            <v xml:space="preserve">Integrated Care Board Name </v>
          </cell>
        </row>
        <row r="12">
          <cell r="D12" t="str">
            <v>QKK</v>
          </cell>
          <cell r="E12" t="str">
            <v>NHS SOUTH EAST LONDON INTEGRATED CARE BOARD</v>
          </cell>
        </row>
        <row r="13">
          <cell r="D13" t="str">
            <v>QMF</v>
          </cell>
          <cell r="E13" t="str">
            <v>NHS NORTH EAST LONDON INTEGRATED CARE BOARD</v>
          </cell>
        </row>
        <row r="14">
          <cell r="D14" t="str">
            <v>QMJ</v>
          </cell>
          <cell r="E14" t="str">
            <v>NHS NORTH CENTRAL LONDON INTEGRATED CARE BOARD</v>
          </cell>
        </row>
        <row r="15">
          <cell r="D15" t="str">
            <v>QRV</v>
          </cell>
          <cell r="E15" t="str">
            <v>NHS NORTH WEST LONDON INTEGRATED CARE BOARD</v>
          </cell>
        </row>
        <row r="16">
          <cell r="D16" t="str">
            <v>QWE</v>
          </cell>
          <cell r="E16" t="str">
            <v>NHS SOUTH WEST LONDON INTEGRATED CARE BOARD</v>
          </cell>
        </row>
        <row r="17">
          <cell r="D17" t="str">
            <v>QJK</v>
          </cell>
          <cell r="E17" t="str">
            <v>NHS DEVON INTEGRATED CARE BOARD</v>
          </cell>
        </row>
        <row r="18">
          <cell r="D18" t="str">
            <v>QOX</v>
          </cell>
          <cell r="E18" t="str">
            <v>NHS BATH AND NORTH EAST SOMERSET, SWINDON AND WILTSHIRE INTEGRATED CARE BOARD</v>
          </cell>
        </row>
        <row r="19">
          <cell r="D19" t="str">
            <v>QR1</v>
          </cell>
          <cell r="E19" t="str">
            <v>NHS GLOUCESTERSHIRE INTEGRATED CARE BOARD</v>
          </cell>
        </row>
        <row r="20">
          <cell r="D20" t="str">
            <v>QSL</v>
          </cell>
          <cell r="E20" t="str">
            <v>NHS SOMERSET INTEGRATED CARE BOARD</v>
          </cell>
        </row>
        <row r="21">
          <cell r="D21" t="str">
            <v>QT6</v>
          </cell>
          <cell r="E21" t="str">
            <v>NHS CORNWALL AND THE ISLES OF SCILLY INTEGRATED CARE BOARD</v>
          </cell>
        </row>
        <row r="22">
          <cell r="D22" t="str">
            <v>QUY</v>
          </cell>
          <cell r="E22" t="str">
            <v>NHS BRISTOL, NORTH SOMERSET AND SOUTH GLOUCESTERSHIRE INTEGRATED CARE BOARD</v>
          </cell>
        </row>
        <row r="23">
          <cell r="D23" t="str">
            <v>QVV</v>
          </cell>
          <cell r="E23" t="str">
            <v>NHS DORSET INTEGRATED CARE BOARD</v>
          </cell>
        </row>
        <row r="24">
          <cell r="D24" t="str">
            <v>QKS</v>
          </cell>
          <cell r="E24" t="str">
            <v>NHS KENT AND MEDWAY INTEGRATED CARE BOARD</v>
          </cell>
        </row>
        <row r="25">
          <cell r="D25" t="str">
            <v>QNQ</v>
          </cell>
          <cell r="E25" t="str">
            <v>NHS FRIMLEY INTEGRATED CARE BOARD</v>
          </cell>
        </row>
        <row r="26">
          <cell r="D26" t="str">
            <v>QNX</v>
          </cell>
          <cell r="E26" t="str">
            <v>NHS SUSSEX INTEGRATED CARE BOARD</v>
          </cell>
        </row>
        <row r="27">
          <cell r="D27" t="str">
            <v>QNX</v>
          </cell>
          <cell r="E27" t="str">
            <v>NHS SUSSEX INTEGRATED CARE BOARD</v>
          </cell>
        </row>
        <row r="28">
          <cell r="D28" t="str">
            <v>QNX</v>
          </cell>
          <cell r="E28" t="str">
            <v>NHS SUSSEX INTEGRATED CARE BOARD</v>
          </cell>
        </row>
        <row r="29">
          <cell r="D29" t="str">
            <v>QRL</v>
          </cell>
          <cell r="E29" t="str">
            <v>NHS HAMPSHIRE AND ISLE OF WIGHT INTEGRATED CARE BOARD</v>
          </cell>
        </row>
        <row r="30">
          <cell r="D30" t="str">
            <v>QRL</v>
          </cell>
          <cell r="E30" t="str">
            <v>NHS HAMPSHIRE AND ISLE OF WIGHT INTEGRATED CARE BOARD</v>
          </cell>
        </row>
        <row r="31">
          <cell r="D31" t="str">
            <v>QU9</v>
          </cell>
          <cell r="E31" t="str">
            <v>NHS BUCKINGHAMSHIRE, OXFORDSHIRE AND BERKSHIRE WEST INTEGRATED CARE BOARD</v>
          </cell>
        </row>
        <row r="32">
          <cell r="D32" t="str">
            <v>QU9</v>
          </cell>
          <cell r="E32" t="str">
            <v>NHS BUCKINGHAMSHIRE, OXFORDSHIRE AND BERKSHIRE WEST INTEGRATED CARE BOARD</v>
          </cell>
        </row>
        <row r="33">
          <cell r="D33" t="str">
            <v>QU9</v>
          </cell>
          <cell r="E33" t="str">
            <v>NHS BUCKINGHAMSHIRE, OXFORDSHIRE AND BERKSHIRE WEST INTEGRATED CARE BOARD</v>
          </cell>
        </row>
        <row r="34">
          <cell r="D34" t="str">
            <v>QXU</v>
          </cell>
          <cell r="E34" t="str">
            <v>NHS SURREY HEARTLANDS INTEGRATED CARE BOARD</v>
          </cell>
        </row>
        <row r="35">
          <cell r="D35" t="str">
            <v>QGH</v>
          </cell>
          <cell r="E35" t="str">
            <v>NHS HEREFORDSHIRE AND WORCESTERSHIRE INTEGRATED CARE BOARD</v>
          </cell>
        </row>
        <row r="36">
          <cell r="D36" t="str">
            <v>QHL</v>
          </cell>
          <cell r="E36" t="str">
            <v>NHS BIRMINGHAM AND SOLIHULL INTEGRATED CARE BOARD</v>
          </cell>
        </row>
        <row r="37">
          <cell r="D37" t="str">
            <v>QJ2</v>
          </cell>
          <cell r="E37" t="str">
            <v>NHS DERBY AND DERBYSHIRE INTEGRATED CARE BOARD</v>
          </cell>
        </row>
        <row r="38">
          <cell r="D38" t="str">
            <v>QJM</v>
          </cell>
          <cell r="E38" t="str">
            <v>NHS LINCOLNSHIRE INTEGRATED CARE BOARD</v>
          </cell>
        </row>
        <row r="39">
          <cell r="D39" t="str">
            <v>QK1</v>
          </cell>
          <cell r="E39" t="str">
            <v>NHS LEICESTER, LEICESTERSHIRE AND RUTLAND INTEGRATED CARE BOARD</v>
          </cell>
        </row>
        <row r="40">
          <cell r="D40" t="str">
            <v>QK1</v>
          </cell>
          <cell r="E40" t="str">
            <v>NHS LEICESTER, LEICESTERSHIRE AND RUTLAND INTEGRATED CARE BOARD</v>
          </cell>
        </row>
        <row r="41">
          <cell r="D41" t="str">
            <v>QK1</v>
          </cell>
          <cell r="E41" t="str">
            <v>NHS LEICESTER, LEICESTERSHIRE AND RUTLAND INTEGRATED CARE BOARD</v>
          </cell>
        </row>
        <row r="42">
          <cell r="D42" t="str">
            <v>QNC</v>
          </cell>
          <cell r="E42" t="str">
            <v>NHS STAFFORDSHIRE AND STOKE-ON-TRENT INTEGRATED CARE BOARD</v>
          </cell>
        </row>
        <row r="43">
          <cell r="D43" t="str">
            <v>QNC</v>
          </cell>
          <cell r="E43" t="str">
            <v>NHS STAFFORDSHIRE AND STOKE-ON-TRENT INTEGRATED CARE BOARD</v>
          </cell>
        </row>
        <row r="44">
          <cell r="D44" t="str">
            <v>QNC</v>
          </cell>
          <cell r="E44" t="str">
            <v>NHS STAFFORDSHIRE AND STOKE-ON-TRENT INTEGRATED CARE BOARD</v>
          </cell>
        </row>
        <row r="45">
          <cell r="D45" t="str">
            <v>QNC</v>
          </cell>
          <cell r="E45" t="str">
            <v>NHS STAFFORDSHIRE AND STOKE-ON-TRENT INTEGRATED CARE BOARD</v>
          </cell>
        </row>
        <row r="46">
          <cell r="D46" t="str">
            <v>QNC</v>
          </cell>
          <cell r="E46" t="str">
            <v>NHS STAFFORDSHIRE AND STOKE-ON-TRENT INTEGRATED CARE BOARD</v>
          </cell>
        </row>
        <row r="47">
          <cell r="D47" t="str">
            <v>QNC</v>
          </cell>
          <cell r="E47" t="str">
            <v>NHS STAFFORDSHIRE AND STOKE-ON-TRENT INTEGRATED CARE BOARD</v>
          </cell>
        </row>
        <row r="48">
          <cell r="D48" t="str">
            <v>QOC</v>
          </cell>
          <cell r="E48" t="str">
            <v>NHS SHROPSHIRE, TELFORD AND WREKIN INTEGRATED CARE BOARD</v>
          </cell>
        </row>
        <row r="49">
          <cell r="D49" t="str">
            <v>QPM</v>
          </cell>
          <cell r="E49" t="str">
            <v>NHS NORTHAMPTONSHIRE INTEGRATED CARE BOARD</v>
          </cell>
        </row>
        <row r="50">
          <cell r="D50" t="str">
            <v>QT1</v>
          </cell>
          <cell r="E50" t="str">
            <v>NHS NOTTINGHAM AND NOTTINGHAMSHIRE INTEGRATED CARE BOARD</v>
          </cell>
        </row>
        <row r="51">
          <cell r="D51" t="str">
            <v>QT1</v>
          </cell>
          <cell r="E51" t="str">
            <v>NHS NOTTINGHAM AND NOTTINGHAMSHIRE INTEGRATED CARE BOARD</v>
          </cell>
        </row>
        <row r="52">
          <cell r="D52" t="str">
            <v>QUA</v>
          </cell>
          <cell r="E52" t="str">
            <v>NHS BLACK COUNTRY INTEGRATED CARE BOARD</v>
          </cell>
        </row>
        <row r="53">
          <cell r="D53" t="str">
            <v>QWU</v>
          </cell>
          <cell r="E53" t="str">
            <v>NHS COVENTRY AND WARWICKSHIRE INTEGRATED CARE BOARD</v>
          </cell>
        </row>
        <row r="54">
          <cell r="D54" t="str">
            <v>QH8</v>
          </cell>
          <cell r="E54" t="str">
            <v>NHS MID AND SOUTH ESSEX INTEGRATED CARE BOARD</v>
          </cell>
        </row>
        <row r="55">
          <cell r="D55" t="str">
            <v>QH8</v>
          </cell>
          <cell r="E55" t="str">
            <v>NHS MID AND SOUTH ESSEX INTEGRATED CARE BOARD</v>
          </cell>
        </row>
        <row r="56">
          <cell r="D56" t="str">
            <v>QH8</v>
          </cell>
          <cell r="E56" t="str">
            <v>NHS MID AND SOUTH ESSEX INTEGRATED CARE BOARD</v>
          </cell>
        </row>
        <row r="57">
          <cell r="D57" t="str">
            <v>QH8</v>
          </cell>
          <cell r="E57" t="str">
            <v>NHS MID AND SOUTH ESSEX INTEGRATED CARE BOARD</v>
          </cell>
        </row>
        <row r="58">
          <cell r="D58" t="str">
            <v>QH8</v>
          </cell>
          <cell r="E58" t="str">
            <v>NHS MID AND SOUTH ESSEX INTEGRATED CARE BOARD</v>
          </cell>
        </row>
        <row r="59">
          <cell r="D59" t="str">
            <v>QHG</v>
          </cell>
          <cell r="E59" t="str">
            <v>NHS BEDFORDSHIRE, LUTON AND MILTON KEYNES INTEGRATED CARE BOARD</v>
          </cell>
        </row>
        <row r="60">
          <cell r="D60" t="str">
            <v>QJG</v>
          </cell>
          <cell r="E60" t="str">
            <v>NHS SUFFOLK AND NORTH EAST ESSEX INTEGRATED CARE BOARD</v>
          </cell>
        </row>
        <row r="61">
          <cell r="D61" t="str">
            <v>QJG</v>
          </cell>
          <cell r="E61" t="str">
            <v>NHS SUFFOLK AND NORTH EAST ESSEX INTEGRATED CARE BOARD</v>
          </cell>
        </row>
        <row r="62">
          <cell r="D62" t="str">
            <v>QJG</v>
          </cell>
          <cell r="E62" t="str">
            <v>NHS SUFFOLK AND NORTH EAST ESSEX INTEGRATED CARE BOARD</v>
          </cell>
        </row>
        <row r="63">
          <cell r="D63" t="str">
            <v>QM7</v>
          </cell>
          <cell r="E63" t="str">
            <v>NHS HERTFORDSHIRE AND WEST ESSEX INTEGRATED CARE BOARD</v>
          </cell>
        </row>
        <row r="64">
          <cell r="D64" t="str">
            <v>QM7</v>
          </cell>
          <cell r="E64" t="str">
            <v>NHS HERTFORDSHIRE AND WEST ESSEX INTEGRATED CARE BOARD</v>
          </cell>
        </row>
        <row r="65">
          <cell r="D65" t="str">
            <v>QM7</v>
          </cell>
          <cell r="E65" t="str">
            <v>NHS HERTFORDSHIRE AND WEST ESSEX INTEGRATED CARE BOARD</v>
          </cell>
        </row>
        <row r="66">
          <cell r="D66" t="str">
            <v>QMM</v>
          </cell>
          <cell r="E66" t="str">
            <v>NHS NORFOLK AND WAVENEY INTEGRATED CARE BOARD</v>
          </cell>
        </row>
        <row r="67">
          <cell r="D67" t="str">
            <v>QUE</v>
          </cell>
          <cell r="E67" t="str">
            <v>NHS CAMBRIDGESHIRE AND PETERBOROUGH INTEGRATED CARE BOARD</v>
          </cell>
        </row>
        <row r="68">
          <cell r="D68" t="str">
            <v>QE1</v>
          </cell>
          <cell r="E68" t="str">
            <v>NHS LANCASHIRE AND SOUTH CUMBRIA INTEGRATED CARE BOARD</v>
          </cell>
        </row>
        <row r="69">
          <cell r="D69" t="str">
            <v>QE1</v>
          </cell>
          <cell r="E69" t="str">
            <v>NHS LANCASHIRE AND SOUTH CUMBRIA INTEGRATED CARE BOARD</v>
          </cell>
        </row>
        <row r="70">
          <cell r="D70" t="str">
            <v>QE1</v>
          </cell>
          <cell r="E70" t="str">
            <v>NHS LANCASHIRE AND SOUTH CUMBRIA INTEGRATED CARE BOARD</v>
          </cell>
        </row>
        <row r="71">
          <cell r="D71" t="str">
            <v>QE1</v>
          </cell>
          <cell r="E71" t="str">
            <v>NHS LANCASHIRE AND SOUTH CUMBRIA INTEGRATED CARE BOARD</v>
          </cell>
        </row>
        <row r="72">
          <cell r="D72" t="str">
            <v>QE1</v>
          </cell>
          <cell r="E72" t="str">
            <v>NHS LANCASHIRE AND SOUTH CUMBRIA INTEGRATED CARE BOARD</v>
          </cell>
        </row>
        <row r="73">
          <cell r="D73" t="str">
            <v>QE1</v>
          </cell>
          <cell r="E73" t="str">
            <v>NHS LANCASHIRE AND SOUTH CUMBRIA INTEGRATED CARE BOARD</v>
          </cell>
        </row>
        <row r="74">
          <cell r="D74" t="str">
            <v>QE1</v>
          </cell>
          <cell r="E74" t="str">
            <v>NHS LANCASHIRE AND SOUTH CUMBRIA INTEGRATED CARE BOARD</v>
          </cell>
        </row>
        <row r="75">
          <cell r="D75" t="str">
            <v>QE1</v>
          </cell>
          <cell r="E75" t="str">
            <v>NHS LANCASHIRE AND SOUTH CUMBRIA INTEGRATED CARE BOARD</v>
          </cell>
        </row>
        <row r="76">
          <cell r="D76" t="str">
            <v>QOP</v>
          </cell>
          <cell r="E76" t="str">
            <v>NHS GREATER MANCHESTER INTEGRATED CARE BOARD</v>
          </cell>
        </row>
        <row r="77">
          <cell r="D77" t="str">
            <v>QOP</v>
          </cell>
          <cell r="E77" t="str">
            <v>NHS GREATER MANCHESTER INTEGRATED CARE BOARD</v>
          </cell>
        </row>
        <row r="78">
          <cell r="D78" t="str">
            <v>QOP</v>
          </cell>
          <cell r="E78" t="str">
            <v>NHS GREATER MANCHESTER INTEGRATED CARE BOARD</v>
          </cell>
        </row>
        <row r="79">
          <cell r="D79" t="str">
            <v>QOP</v>
          </cell>
          <cell r="E79" t="str">
            <v>NHS GREATER MANCHESTER INTEGRATED CARE BOARD</v>
          </cell>
        </row>
        <row r="80">
          <cell r="D80" t="str">
            <v>QOP</v>
          </cell>
          <cell r="E80" t="str">
            <v>NHS GREATER MANCHESTER INTEGRATED CARE BOARD</v>
          </cell>
        </row>
        <row r="81">
          <cell r="D81" t="str">
            <v>QOP</v>
          </cell>
          <cell r="E81" t="str">
            <v>NHS GREATER MANCHESTER INTEGRATED CARE BOARD</v>
          </cell>
        </row>
        <row r="82">
          <cell r="D82" t="str">
            <v>QOP</v>
          </cell>
          <cell r="E82" t="str">
            <v>NHS GREATER MANCHESTER INTEGRATED CARE BOARD</v>
          </cell>
        </row>
        <row r="83">
          <cell r="D83" t="str">
            <v>QOP</v>
          </cell>
          <cell r="E83" t="str">
            <v>NHS GREATER MANCHESTER INTEGRATED CARE BOARD</v>
          </cell>
        </row>
        <row r="84">
          <cell r="D84" t="str">
            <v>QOP</v>
          </cell>
          <cell r="E84" t="str">
            <v>NHS GREATER MANCHESTER INTEGRATED CARE BOARD</v>
          </cell>
        </row>
        <row r="85">
          <cell r="D85" t="str">
            <v>QOP</v>
          </cell>
          <cell r="E85" t="str">
            <v>NHS GREATER MANCHESTER INTEGRATED CARE BOARD</v>
          </cell>
        </row>
        <row r="86">
          <cell r="D86" t="str">
            <v>QYG</v>
          </cell>
          <cell r="E86" t="str">
            <v>NHS CHESHIRE AND MERSEYSIDE INTEGRATED CARE BOARD</v>
          </cell>
        </row>
        <row r="87">
          <cell r="D87" t="str">
            <v>QYG</v>
          </cell>
          <cell r="E87" t="str">
            <v>NHS CHESHIRE AND MERSEYSIDE INTEGRATED CARE BOARD</v>
          </cell>
        </row>
        <row r="88">
          <cell r="D88" t="str">
            <v>QYG</v>
          </cell>
          <cell r="E88" t="str">
            <v>NHS CHESHIRE AND MERSEYSIDE INTEGRATED CARE BOARD</v>
          </cell>
        </row>
        <row r="89">
          <cell r="D89" t="str">
            <v>QYG</v>
          </cell>
          <cell r="E89" t="str">
            <v>NHS CHESHIRE AND MERSEYSIDE INTEGRATED CARE BOARD</v>
          </cell>
        </row>
        <row r="90">
          <cell r="D90" t="str">
            <v>QYG</v>
          </cell>
          <cell r="E90" t="str">
            <v>NHS CHESHIRE AND MERSEYSIDE INTEGRATED CARE BOARD</v>
          </cell>
        </row>
        <row r="91">
          <cell r="D91" t="str">
            <v>QYG</v>
          </cell>
          <cell r="E91" t="str">
            <v>NHS CHESHIRE AND MERSEYSIDE INTEGRATED CARE BOARD</v>
          </cell>
        </row>
        <row r="92">
          <cell r="D92" t="str">
            <v>QYG</v>
          </cell>
          <cell r="E92" t="str">
            <v>NHS CHESHIRE AND MERSEYSIDE INTEGRATED CARE BOARD</v>
          </cell>
        </row>
        <row r="93">
          <cell r="D93" t="str">
            <v>QYG</v>
          </cell>
          <cell r="E93" t="str">
            <v>NHS CHESHIRE AND MERSEYSIDE INTEGRATED CARE BOARD</v>
          </cell>
        </row>
        <row r="94">
          <cell r="D94" t="str">
            <v>QYG</v>
          </cell>
          <cell r="E94" t="str">
            <v>NHS CHESHIRE AND MERSEYSIDE INTEGRATED CARE BOARD</v>
          </cell>
        </row>
        <row r="95">
          <cell r="D95" t="str">
            <v>QF7</v>
          </cell>
          <cell r="E95" t="str">
            <v>NHS SOUTH YORKSHIRE INTEGRATED CARE BOARD</v>
          </cell>
        </row>
        <row r="96">
          <cell r="D96" t="str">
            <v>QF7</v>
          </cell>
          <cell r="E96" t="str">
            <v>NHS SOUTH YORKSHIRE INTEGRATED CARE BOARD</v>
          </cell>
        </row>
        <row r="97">
          <cell r="D97" t="str">
            <v>QF7</v>
          </cell>
          <cell r="E97" t="str">
            <v>NHS SOUTH YORKSHIRE INTEGRATED CARE BOARD</v>
          </cell>
        </row>
        <row r="98">
          <cell r="D98" t="str">
            <v>QF7</v>
          </cell>
          <cell r="E98" t="str">
            <v>NHS SOUTH YORKSHIRE INTEGRATED CARE BOARD</v>
          </cell>
        </row>
        <row r="99">
          <cell r="D99" t="str">
            <v>QHM</v>
          </cell>
          <cell r="E99" t="str">
            <v>NHS NORTH EAST AND NORTH CUMBRIA INTEGRATED CARE BOARD</v>
          </cell>
        </row>
        <row r="100">
          <cell r="D100" t="str">
            <v>QHM</v>
          </cell>
          <cell r="E100" t="str">
            <v>NHS NORTH EAST AND NORTH CUMBRIA INTEGRATED CARE BOARD</v>
          </cell>
        </row>
        <row r="101">
          <cell r="D101" t="str">
            <v>QHM</v>
          </cell>
          <cell r="E101" t="str">
            <v>NHS NORTH EAST AND NORTH CUMBRIA INTEGRATED CARE BOARD</v>
          </cell>
        </row>
        <row r="102">
          <cell r="D102" t="str">
            <v>QHM</v>
          </cell>
          <cell r="E102" t="str">
            <v>NHS NORTH EAST AND NORTH CUMBRIA INTEGRATED CARE BOARD</v>
          </cell>
        </row>
        <row r="103">
          <cell r="D103" t="str">
            <v>QHM</v>
          </cell>
          <cell r="E103" t="str">
            <v>NHS NORTH EAST AND NORTH CUMBRIA INTEGRATED CARE BOARD</v>
          </cell>
        </row>
        <row r="104">
          <cell r="D104" t="str">
            <v>QHM</v>
          </cell>
          <cell r="E104" t="str">
            <v>NHS NORTH EAST AND NORTH CUMBRIA INTEGRATED CARE BOARD</v>
          </cell>
        </row>
        <row r="105">
          <cell r="D105" t="str">
            <v>QHM</v>
          </cell>
          <cell r="E105" t="str">
            <v>NHS NORTH EAST AND NORTH CUMBRIA INTEGRATED CARE BOARD</v>
          </cell>
        </row>
        <row r="106">
          <cell r="D106" t="str">
            <v>QHM</v>
          </cell>
          <cell r="E106" t="str">
            <v>NHS NORTH EAST AND NORTH CUMBRIA INTEGRATED CARE BOARD</v>
          </cell>
        </row>
        <row r="107">
          <cell r="D107" t="str">
            <v>QOQ</v>
          </cell>
          <cell r="E107" t="str">
            <v>NHS HUMBER AND NORTH YORKSHIRE INTEGRATED CARE BOARD</v>
          </cell>
        </row>
        <row r="108">
          <cell r="D108" t="str">
            <v>QOQ</v>
          </cell>
          <cell r="E108" t="str">
            <v>NHS HUMBER AND NORTH YORKSHIRE INTEGRATED CARE BOARD</v>
          </cell>
        </row>
        <row r="109">
          <cell r="D109" t="str">
            <v>QOQ</v>
          </cell>
          <cell r="E109" t="str">
            <v>NHS HUMBER AND NORTH YORKSHIRE INTEGRATED CARE BOARD</v>
          </cell>
        </row>
        <row r="110">
          <cell r="D110" t="str">
            <v>QOQ</v>
          </cell>
          <cell r="E110" t="str">
            <v>NHS HUMBER AND NORTH YORKSHIRE INTEGRATED CARE BOARD</v>
          </cell>
        </row>
        <row r="111">
          <cell r="D111" t="str">
            <v>QOQ</v>
          </cell>
          <cell r="E111" t="str">
            <v>NHS HUMBER AND NORTH YORKSHIRE INTEGRATED CARE BOARD</v>
          </cell>
        </row>
        <row r="112">
          <cell r="D112" t="str">
            <v>QOQ</v>
          </cell>
          <cell r="E112" t="str">
            <v>NHS HUMBER AND NORTH YORKSHIRE INTEGRATED CARE BOARD</v>
          </cell>
        </row>
        <row r="113">
          <cell r="D113" t="str">
            <v>QWO</v>
          </cell>
          <cell r="E113" t="str">
            <v>NHS WEST YORKSHIRE INTEGRATED CARE BOARD</v>
          </cell>
        </row>
        <row r="114">
          <cell r="D114" t="str">
            <v>QWO</v>
          </cell>
          <cell r="E114" t="str">
            <v>NHS WEST YORKSHIRE INTEGRATED CARE BOARD</v>
          </cell>
        </row>
        <row r="115">
          <cell r="D115" t="str">
            <v>QWO</v>
          </cell>
          <cell r="E115" t="str">
            <v>NHS WEST YORKSHIRE INTEGRATED CARE BOARD</v>
          </cell>
        </row>
        <row r="116">
          <cell r="D116" t="str">
            <v>QWO</v>
          </cell>
          <cell r="E116" t="str">
            <v>NHS WEST YORKSHIRE INTEGRATED CARE BOARD</v>
          </cell>
        </row>
        <row r="117">
          <cell r="D117" t="str">
            <v>QWO</v>
          </cell>
          <cell r="E117" t="str">
            <v>NHS WEST YORKSHIRE INTEGRATED CARE BOARD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3.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18" Type="http://schemas.openxmlformats.org/officeDocument/2006/relationships/ctrlProp" Target="../ctrlProps/ctrlProp51.xml"/><Relationship Id="rId3" Type="http://schemas.openxmlformats.org/officeDocument/2006/relationships/vmlDrawing" Target="../drawings/vmlDrawing4.vml"/><Relationship Id="rId21" Type="http://schemas.openxmlformats.org/officeDocument/2006/relationships/ctrlProp" Target="../ctrlProps/ctrlProp54.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 Type="http://schemas.openxmlformats.org/officeDocument/2006/relationships/drawing" Target="../drawings/drawing4.xml"/><Relationship Id="rId16" Type="http://schemas.openxmlformats.org/officeDocument/2006/relationships/ctrlProp" Target="../ctrlProps/ctrlProp49.xml"/><Relationship Id="rId20" Type="http://schemas.openxmlformats.org/officeDocument/2006/relationships/ctrlProp" Target="../ctrlProps/ctrlProp53.xml"/><Relationship Id="rId1" Type="http://schemas.openxmlformats.org/officeDocument/2006/relationships/printerSettings" Target="../printerSettings/printerSettings4.bin"/><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10" Type="http://schemas.openxmlformats.org/officeDocument/2006/relationships/ctrlProp" Target="../ctrlProps/ctrlProp43.xml"/><Relationship Id="rId19" Type="http://schemas.openxmlformats.org/officeDocument/2006/relationships/ctrlProp" Target="../ctrlProps/ctrlProp52.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1.xml"/><Relationship Id="rId13" Type="http://schemas.openxmlformats.org/officeDocument/2006/relationships/ctrlProp" Target="../ctrlProps/ctrlProp66.xml"/><Relationship Id="rId18" Type="http://schemas.openxmlformats.org/officeDocument/2006/relationships/ctrlProp" Target="../ctrlProps/ctrlProp71.xml"/><Relationship Id="rId3" Type="http://schemas.openxmlformats.org/officeDocument/2006/relationships/vmlDrawing" Target="../drawings/vmlDrawing5.vml"/><Relationship Id="rId21" Type="http://schemas.openxmlformats.org/officeDocument/2006/relationships/ctrlProp" Target="../ctrlProps/ctrlProp74.xml"/><Relationship Id="rId7" Type="http://schemas.openxmlformats.org/officeDocument/2006/relationships/ctrlProp" Target="../ctrlProps/ctrlProp60.xml"/><Relationship Id="rId12" Type="http://schemas.openxmlformats.org/officeDocument/2006/relationships/ctrlProp" Target="../ctrlProps/ctrlProp65.xml"/><Relationship Id="rId17" Type="http://schemas.openxmlformats.org/officeDocument/2006/relationships/ctrlProp" Target="../ctrlProps/ctrlProp70.xml"/><Relationship Id="rId2" Type="http://schemas.openxmlformats.org/officeDocument/2006/relationships/drawing" Target="../drawings/drawing5.xml"/><Relationship Id="rId16" Type="http://schemas.openxmlformats.org/officeDocument/2006/relationships/ctrlProp" Target="../ctrlProps/ctrlProp69.xml"/><Relationship Id="rId20" Type="http://schemas.openxmlformats.org/officeDocument/2006/relationships/ctrlProp" Target="../ctrlProps/ctrlProp73.xml"/><Relationship Id="rId1" Type="http://schemas.openxmlformats.org/officeDocument/2006/relationships/printerSettings" Target="../printerSettings/printerSettings5.bin"/><Relationship Id="rId6" Type="http://schemas.openxmlformats.org/officeDocument/2006/relationships/ctrlProp" Target="../ctrlProps/ctrlProp59.xml"/><Relationship Id="rId11" Type="http://schemas.openxmlformats.org/officeDocument/2006/relationships/ctrlProp" Target="../ctrlProps/ctrlProp64.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10" Type="http://schemas.openxmlformats.org/officeDocument/2006/relationships/ctrlProp" Target="../ctrlProps/ctrlProp63.xml"/><Relationship Id="rId19" Type="http://schemas.openxmlformats.org/officeDocument/2006/relationships/ctrlProp" Target="../ctrlProps/ctrlProp72.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18" Type="http://schemas.openxmlformats.org/officeDocument/2006/relationships/ctrlProp" Target="../ctrlProps/ctrlProp91.xml"/><Relationship Id="rId3" Type="http://schemas.openxmlformats.org/officeDocument/2006/relationships/vmlDrawing" Target="../drawings/vmlDrawing6.vml"/><Relationship Id="rId21" Type="http://schemas.openxmlformats.org/officeDocument/2006/relationships/ctrlProp" Target="../ctrlProps/ctrlProp94.xml"/><Relationship Id="rId7" Type="http://schemas.openxmlformats.org/officeDocument/2006/relationships/ctrlProp" Target="../ctrlProps/ctrlProp80.xml"/><Relationship Id="rId12" Type="http://schemas.openxmlformats.org/officeDocument/2006/relationships/ctrlProp" Target="../ctrlProps/ctrlProp85.xml"/><Relationship Id="rId17" Type="http://schemas.openxmlformats.org/officeDocument/2006/relationships/ctrlProp" Target="../ctrlProps/ctrlProp90.xml"/><Relationship Id="rId2" Type="http://schemas.openxmlformats.org/officeDocument/2006/relationships/drawing" Target="../drawings/drawing6.xml"/><Relationship Id="rId16" Type="http://schemas.openxmlformats.org/officeDocument/2006/relationships/ctrlProp" Target="../ctrlProps/ctrlProp89.xml"/><Relationship Id="rId20" Type="http://schemas.openxmlformats.org/officeDocument/2006/relationships/ctrlProp" Target="../ctrlProps/ctrlProp93.xml"/><Relationship Id="rId1" Type="http://schemas.openxmlformats.org/officeDocument/2006/relationships/printerSettings" Target="../printerSettings/printerSettings6.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23" Type="http://schemas.openxmlformats.org/officeDocument/2006/relationships/ctrlProp" Target="../ctrlProps/ctrlProp96.xml"/><Relationship Id="rId10" Type="http://schemas.openxmlformats.org/officeDocument/2006/relationships/ctrlProp" Target="../ctrlProps/ctrlProp83.xml"/><Relationship Id="rId19" Type="http://schemas.openxmlformats.org/officeDocument/2006/relationships/ctrlProp" Target="../ctrlProps/ctrlProp92.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 Id="rId22" Type="http://schemas.openxmlformats.org/officeDocument/2006/relationships/ctrlProp" Target="../ctrlProps/ctrlProp9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1.xml"/><Relationship Id="rId13" Type="http://schemas.openxmlformats.org/officeDocument/2006/relationships/ctrlProp" Target="../ctrlProps/ctrlProp106.xml"/><Relationship Id="rId18" Type="http://schemas.openxmlformats.org/officeDocument/2006/relationships/ctrlProp" Target="../ctrlProps/ctrlProp111.xml"/><Relationship Id="rId3" Type="http://schemas.openxmlformats.org/officeDocument/2006/relationships/vmlDrawing" Target="../drawings/vmlDrawing7.vml"/><Relationship Id="rId21" Type="http://schemas.openxmlformats.org/officeDocument/2006/relationships/ctrlProp" Target="../ctrlProps/ctrlProp114.xml"/><Relationship Id="rId7" Type="http://schemas.openxmlformats.org/officeDocument/2006/relationships/ctrlProp" Target="../ctrlProps/ctrlProp100.xml"/><Relationship Id="rId12" Type="http://schemas.openxmlformats.org/officeDocument/2006/relationships/ctrlProp" Target="../ctrlProps/ctrlProp105.xml"/><Relationship Id="rId17" Type="http://schemas.openxmlformats.org/officeDocument/2006/relationships/ctrlProp" Target="../ctrlProps/ctrlProp110.xml"/><Relationship Id="rId2" Type="http://schemas.openxmlformats.org/officeDocument/2006/relationships/drawing" Target="../drawings/drawing7.xml"/><Relationship Id="rId16" Type="http://schemas.openxmlformats.org/officeDocument/2006/relationships/ctrlProp" Target="../ctrlProps/ctrlProp109.xml"/><Relationship Id="rId20" Type="http://schemas.openxmlformats.org/officeDocument/2006/relationships/ctrlProp" Target="../ctrlProps/ctrlProp113.xml"/><Relationship Id="rId1" Type="http://schemas.openxmlformats.org/officeDocument/2006/relationships/printerSettings" Target="../printerSettings/printerSettings7.bin"/><Relationship Id="rId6" Type="http://schemas.openxmlformats.org/officeDocument/2006/relationships/ctrlProp" Target="../ctrlProps/ctrlProp99.xml"/><Relationship Id="rId11" Type="http://schemas.openxmlformats.org/officeDocument/2006/relationships/ctrlProp" Target="../ctrlProps/ctrlProp104.xml"/><Relationship Id="rId5" Type="http://schemas.openxmlformats.org/officeDocument/2006/relationships/ctrlProp" Target="../ctrlProps/ctrlProp98.xml"/><Relationship Id="rId15" Type="http://schemas.openxmlformats.org/officeDocument/2006/relationships/ctrlProp" Target="../ctrlProps/ctrlProp108.xml"/><Relationship Id="rId23" Type="http://schemas.openxmlformats.org/officeDocument/2006/relationships/ctrlProp" Target="../ctrlProps/ctrlProp116.xml"/><Relationship Id="rId10" Type="http://schemas.openxmlformats.org/officeDocument/2006/relationships/ctrlProp" Target="../ctrlProps/ctrlProp103.xml"/><Relationship Id="rId19" Type="http://schemas.openxmlformats.org/officeDocument/2006/relationships/ctrlProp" Target="../ctrlProps/ctrlProp112.xml"/><Relationship Id="rId4" Type="http://schemas.openxmlformats.org/officeDocument/2006/relationships/ctrlProp" Target="../ctrlProps/ctrlProp97.xml"/><Relationship Id="rId9" Type="http://schemas.openxmlformats.org/officeDocument/2006/relationships/ctrlProp" Target="../ctrlProps/ctrlProp102.xml"/><Relationship Id="rId14" Type="http://schemas.openxmlformats.org/officeDocument/2006/relationships/ctrlProp" Target="../ctrlProps/ctrlProp107.xml"/><Relationship Id="rId22" Type="http://schemas.openxmlformats.org/officeDocument/2006/relationships/ctrlProp" Target="../ctrlProps/ctrlProp11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F2900-E697-4F27-BCD1-9608D48FA04F}">
  <sheetPr codeName="Sheet20">
    <tabColor theme="3" tint="0.59999389629810485"/>
  </sheetPr>
  <dimension ref="A1:M31"/>
  <sheetViews>
    <sheetView workbookViewId="0"/>
  </sheetViews>
  <sheetFormatPr defaultColWidth="12.5703125" defaultRowHeight="15" customHeight="1"/>
  <cols>
    <col min="1" max="5" width="12.5703125" style="1"/>
    <col min="6" max="6" width="18.85546875" style="1" customWidth="1"/>
    <col min="7" max="7" width="3.5703125" style="1" customWidth="1"/>
    <col min="8" max="8" width="15.140625" style="1" customWidth="1"/>
    <col min="9" max="9" width="15" style="1" customWidth="1"/>
    <col min="10" max="10" width="13.5703125" style="1" customWidth="1"/>
    <col min="11" max="11" width="12.5703125" style="1"/>
    <col min="12" max="12" width="33.42578125" style="1" customWidth="1"/>
    <col min="13" max="13" width="7.5703125" style="1" customWidth="1"/>
    <col min="14" max="16384" width="12.5703125" style="1"/>
  </cols>
  <sheetData>
    <row r="1" spans="1:13" ht="10.5" customHeight="1" thickBot="1"/>
    <row r="2" spans="1:13" s="3" customFormat="1" ht="78.75" customHeight="1" thickBot="1">
      <c r="A2" s="2" t="s">
        <v>0</v>
      </c>
      <c r="H2" s="4"/>
      <c r="I2" s="5"/>
      <c r="J2" s="5"/>
      <c r="K2" s="5"/>
      <c r="L2" s="6"/>
    </row>
    <row r="3" spans="1:13" s="8" customFormat="1" ht="15.6">
      <c r="A3" s="7" t="s">
        <v>1</v>
      </c>
      <c r="G3" s="1"/>
      <c r="H3" s="1"/>
      <c r="I3" s="1"/>
      <c r="J3" s="1"/>
      <c r="K3" s="1"/>
      <c r="L3" s="3"/>
      <c r="M3" s="3"/>
    </row>
    <row r="4" spans="1:13" ht="15" customHeight="1">
      <c r="A4" s="7"/>
    </row>
    <row r="31" ht="18" customHeight="1"/>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Engagement">
              <controlPr defaultSize="0" print="0" autoFill="0" autoPict="0" macro="[0]!Engagement">
                <anchor moveWithCells="1" sizeWithCells="1">
                  <from>
                    <xdr:col>10</xdr:col>
                    <xdr:colOff>717550</xdr:colOff>
                    <xdr:row>1</xdr:row>
                    <xdr:rowOff>69850</xdr:rowOff>
                  </from>
                  <to>
                    <xdr:col>11</xdr:col>
                    <xdr:colOff>946150</xdr:colOff>
                    <xdr:row>1</xdr:row>
                    <xdr:rowOff>488950</xdr:rowOff>
                  </to>
                </anchor>
              </controlPr>
            </control>
          </mc:Choice>
        </mc:AlternateContent>
        <mc:AlternateContent xmlns:mc="http://schemas.openxmlformats.org/markup-compatibility/2006">
          <mc:Choice Requires="x14">
            <control shapeId="1026" r:id="rId5" name="Advocacy">
              <controlPr defaultSize="0" print="0" autoFill="0" autoPict="0" macro="[0]!Advocacy">
                <anchor moveWithCells="1" sizeWithCells="1">
                  <from>
                    <xdr:col>11</xdr:col>
                    <xdr:colOff>1028700</xdr:colOff>
                    <xdr:row>1</xdr:row>
                    <xdr:rowOff>69850</xdr:rowOff>
                  </from>
                  <to>
                    <xdr:col>11</xdr:col>
                    <xdr:colOff>2101850</xdr:colOff>
                    <xdr:row>1</xdr:row>
                    <xdr:rowOff>488950</xdr:rowOff>
                  </to>
                </anchor>
              </controlPr>
            </control>
          </mc:Choice>
        </mc:AlternateContent>
        <mc:AlternateContent xmlns:mc="http://schemas.openxmlformats.org/markup-compatibility/2006">
          <mc:Choice Requires="x14">
            <control shapeId="1027" r:id="rId6" name="CSV">
              <controlPr defaultSize="0" print="0" autoFill="0" autoPict="0" macro="[0]!CreateCSVs">
                <anchor moveWithCells="1" sizeWithCells="1">
                  <from>
                    <xdr:col>10</xdr:col>
                    <xdr:colOff>654050</xdr:colOff>
                    <xdr:row>2</xdr:row>
                    <xdr:rowOff>44450</xdr:rowOff>
                  </from>
                  <to>
                    <xdr:col>11</xdr:col>
                    <xdr:colOff>1066800</xdr:colOff>
                    <xdr:row>4</xdr:row>
                    <xdr:rowOff>31750</xdr:rowOff>
                  </to>
                </anchor>
              </controlPr>
            </control>
          </mc:Choice>
        </mc:AlternateContent>
        <mc:AlternateContent xmlns:mc="http://schemas.openxmlformats.org/markup-compatibility/2006">
          <mc:Choice Requires="x14">
            <control shapeId="1028" r:id="rId7" name="Summary">
              <controlPr defaultSize="0" print="0" autoFill="0" autoPict="0" macro="[0]!Summary">
                <anchor moveWithCells="1" sizeWithCells="1">
                  <from>
                    <xdr:col>7</xdr:col>
                    <xdr:colOff>107950</xdr:colOff>
                    <xdr:row>1</xdr:row>
                    <xdr:rowOff>69850</xdr:rowOff>
                  </from>
                  <to>
                    <xdr:col>8</xdr:col>
                    <xdr:colOff>158750</xdr:colOff>
                    <xdr:row>1</xdr:row>
                    <xdr:rowOff>488950</xdr:rowOff>
                  </to>
                </anchor>
              </controlPr>
            </control>
          </mc:Choice>
        </mc:AlternateContent>
        <mc:AlternateContent xmlns:mc="http://schemas.openxmlformats.org/markup-compatibility/2006">
          <mc:Choice Requires="x14">
            <control shapeId="1029" r:id="rId8" name="Motivation">
              <controlPr defaultSize="0" print="0" autoFill="0" autoPict="0" macro="[0]!Motivation">
                <anchor moveWithCells="1" sizeWithCells="1">
                  <from>
                    <xdr:col>11</xdr:col>
                    <xdr:colOff>1028700</xdr:colOff>
                    <xdr:row>1</xdr:row>
                    <xdr:rowOff>527050</xdr:rowOff>
                  </from>
                  <to>
                    <xdr:col>11</xdr:col>
                    <xdr:colOff>2101850</xdr:colOff>
                    <xdr:row>1</xdr:row>
                    <xdr:rowOff>946150</xdr:rowOff>
                  </to>
                </anchor>
              </controlPr>
            </control>
          </mc:Choice>
        </mc:AlternateContent>
        <mc:AlternateContent xmlns:mc="http://schemas.openxmlformats.org/markup-compatibility/2006">
          <mc:Choice Requires="x14">
            <control shapeId="1030" r:id="rId9" name="Involvement">
              <controlPr defaultSize="0" print="0" autoFill="0" autoPict="0" macro="[0]!Involvement">
                <anchor moveWithCells="1" sizeWithCells="1">
                  <from>
                    <xdr:col>10</xdr:col>
                    <xdr:colOff>717550</xdr:colOff>
                    <xdr:row>1</xdr:row>
                    <xdr:rowOff>527050</xdr:rowOff>
                  </from>
                  <to>
                    <xdr:col>11</xdr:col>
                    <xdr:colOff>946150</xdr:colOff>
                    <xdr:row>1</xdr:row>
                    <xdr:rowOff>946150</xdr:rowOff>
                  </to>
                </anchor>
              </controlPr>
            </control>
          </mc:Choice>
        </mc:AlternateContent>
        <mc:AlternateContent xmlns:mc="http://schemas.openxmlformats.org/markup-compatibility/2006">
          <mc:Choice Requires="x14">
            <control shapeId="1031" r:id="rId10" name="Breakdown">
              <controlPr defaultSize="0" print="0" autoFill="0" autoPict="0" macro="[0]!Breakdown">
                <anchor moveWithCells="1" sizeWithCells="1">
                  <from>
                    <xdr:col>9</xdr:col>
                    <xdr:colOff>463550</xdr:colOff>
                    <xdr:row>1</xdr:row>
                    <xdr:rowOff>69850</xdr:rowOff>
                  </from>
                  <to>
                    <xdr:col>10</xdr:col>
                    <xdr:colOff>641350</xdr:colOff>
                    <xdr:row>1</xdr:row>
                    <xdr:rowOff>488950</xdr:rowOff>
                  </to>
                </anchor>
              </controlPr>
            </control>
          </mc:Choice>
        </mc:AlternateContent>
        <mc:AlternateContent xmlns:mc="http://schemas.openxmlformats.org/markup-compatibility/2006">
          <mc:Choice Requires="x14">
            <control shapeId="1032" r:id="rId11" name="Scores">
              <controlPr defaultSize="0" print="0" autoFill="0" autoPict="0" macro="[1]!MacrosForWebfileForMalwina.Scores">
                <anchor moveWithCells="1" sizeWithCells="1">
                  <from>
                    <xdr:col>9</xdr:col>
                    <xdr:colOff>457200</xdr:colOff>
                    <xdr:row>1</xdr:row>
                    <xdr:rowOff>527050</xdr:rowOff>
                  </from>
                  <to>
                    <xdr:col>10</xdr:col>
                    <xdr:colOff>615950</xdr:colOff>
                    <xdr:row>1</xdr:row>
                    <xdr:rowOff>946150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274A6-632F-4769-A254-EF541B4E03A5}">
  <sheetPr codeName="Sheet22">
    <tabColor theme="3" tint="0.59999389629810485"/>
  </sheetPr>
  <dimension ref="A1:V501"/>
  <sheetViews>
    <sheetView tabSelected="1" workbookViewId="0">
      <selection activeCell="E6" sqref="E6"/>
    </sheetView>
  </sheetViews>
  <sheetFormatPr defaultColWidth="9.140625" defaultRowHeight="14.45"/>
  <cols>
    <col min="1" max="1" width="9.5703125" style="15" customWidth="1"/>
    <col min="2" max="2" width="30.140625" style="15" customWidth="1"/>
    <col min="3" max="8" width="18.5703125" style="15" customWidth="1"/>
    <col min="9" max="22" width="14.5703125" style="15" customWidth="1"/>
    <col min="23" max="16384" width="9.140625" style="9"/>
  </cols>
  <sheetData>
    <row r="1" spans="1:22" ht="6" customHeight="1">
      <c r="A1" s="9"/>
      <c r="B1" s="9"/>
      <c r="C1" s="9"/>
      <c r="D1" s="9"/>
      <c r="E1" s="9"/>
      <c r="F1" s="10"/>
      <c r="G1" s="10"/>
      <c r="H1" s="9"/>
      <c r="I1" s="9"/>
      <c r="J1" s="9"/>
      <c r="K1" s="9"/>
      <c r="L1" s="9"/>
      <c r="M1" s="9"/>
      <c r="N1" s="9"/>
      <c r="O1" s="9"/>
      <c r="P1" s="9"/>
      <c r="Q1" s="9"/>
      <c r="R1" s="9"/>
      <c r="S1" s="9"/>
      <c r="T1" s="9"/>
      <c r="U1" s="9"/>
      <c r="V1" s="9"/>
    </row>
    <row r="2" spans="1:22" ht="86.25" customHeight="1">
      <c r="A2" s="9"/>
      <c r="B2" s="11"/>
      <c r="C2" s="12"/>
      <c r="D2" s="12"/>
      <c r="E2" s="12"/>
      <c r="F2" s="12"/>
      <c r="G2" s="12"/>
      <c r="H2" s="12"/>
      <c r="I2" s="9"/>
      <c r="J2" s="9"/>
      <c r="K2" s="9"/>
      <c r="L2" s="9"/>
      <c r="M2" s="9"/>
      <c r="N2" s="9"/>
      <c r="O2" s="9"/>
      <c r="P2" s="9"/>
      <c r="Q2" s="9"/>
      <c r="R2" s="9"/>
      <c r="S2" s="9"/>
      <c r="T2" s="9"/>
      <c r="U2" s="9"/>
      <c r="V2" s="9"/>
    </row>
    <row r="3" spans="1:22" s="14" customFormat="1" ht="9.9499999999999993" customHeight="1">
      <c r="A3" s="13"/>
      <c r="B3" s="13"/>
      <c r="C3" s="13"/>
      <c r="D3" s="13"/>
      <c r="E3" s="13"/>
      <c r="F3" s="13"/>
      <c r="G3" s="13"/>
      <c r="H3" s="13"/>
      <c r="I3" s="13"/>
      <c r="J3" s="13"/>
      <c r="K3" s="13"/>
      <c r="L3" s="13"/>
      <c r="M3" s="13"/>
      <c r="N3" s="13"/>
      <c r="O3" s="13"/>
    </row>
    <row r="4" spans="1:22" ht="20.100000000000001" customHeight="1">
      <c r="B4" s="16" t="s">
        <v>2</v>
      </c>
      <c r="C4" s="12"/>
      <c r="D4" s="12"/>
      <c r="E4" s="12"/>
      <c r="F4" s="12"/>
      <c r="G4" s="12"/>
      <c r="H4" s="12"/>
      <c r="P4" s="9"/>
      <c r="Q4" s="9"/>
      <c r="R4" s="9"/>
      <c r="S4" s="9"/>
      <c r="T4" s="9"/>
      <c r="U4" s="9"/>
      <c r="V4" s="9"/>
    </row>
    <row r="5" spans="1:22" ht="9.9499999999999993" customHeight="1">
      <c r="B5" s="12"/>
      <c r="C5" s="12"/>
      <c r="D5" s="12"/>
      <c r="E5" s="12"/>
      <c r="F5" s="12"/>
      <c r="G5" s="12"/>
      <c r="H5" s="12"/>
      <c r="P5" s="9"/>
      <c r="Q5" s="9"/>
      <c r="R5" s="9"/>
      <c r="S5" s="9"/>
      <c r="T5" s="9"/>
      <c r="U5" s="9"/>
      <c r="V5" s="9"/>
    </row>
    <row r="6" spans="1:22" ht="15" customHeight="1">
      <c r="B6" s="89" t="s">
        <v>3</v>
      </c>
      <c r="C6" s="89"/>
      <c r="D6" s="89"/>
      <c r="E6" s="17"/>
      <c r="F6" s="12"/>
      <c r="G6" s="12"/>
      <c r="H6" s="12"/>
      <c r="P6" s="9"/>
      <c r="Q6" s="9"/>
      <c r="R6" s="9"/>
      <c r="S6" s="9"/>
      <c r="T6" s="9"/>
      <c r="U6" s="9"/>
      <c r="V6" s="9"/>
    </row>
    <row r="7" spans="1:22" ht="9.9499999999999993" customHeight="1">
      <c r="B7" s="18"/>
      <c r="C7" s="19"/>
      <c r="D7" s="19"/>
      <c r="E7" s="12"/>
      <c r="F7" s="12"/>
      <c r="G7" s="12"/>
      <c r="H7" s="12"/>
      <c r="P7" s="9"/>
      <c r="Q7" s="9"/>
      <c r="R7" s="9"/>
      <c r="S7" s="9"/>
      <c r="T7" s="9"/>
      <c r="U7" s="9"/>
      <c r="V7" s="9"/>
    </row>
    <row r="8" spans="1:22">
      <c r="B8" s="20"/>
      <c r="C8" s="90" t="s">
        <v>4</v>
      </c>
      <c r="D8" s="91"/>
      <c r="E8" s="92"/>
      <c r="F8" s="12"/>
      <c r="G8" s="12"/>
      <c r="H8" s="12"/>
      <c r="M8" s="9"/>
      <c r="N8" s="9"/>
      <c r="O8" s="9"/>
      <c r="P8" s="9"/>
      <c r="Q8" s="9"/>
      <c r="R8" s="9"/>
      <c r="S8" s="9"/>
      <c r="T8" s="9"/>
      <c r="U8" s="9"/>
      <c r="V8" s="9"/>
    </row>
    <row r="9" spans="1:22">
      <c r="B9" s="21"/>
      <c r="C9" s="88" t="s">
        <v>5</v>
      </c>
      <c r="D9" s="22" t="s">
        <v>6</v>
      </c>
      <c r="E9" s="22" t="s">
        <v>7</v>
      </c>
      <c r="F9" s="12"/>
      <c r="G9" s="12"/>
      <c r="H9" s="12"/>
      <c r="M9" s="9"/>
      <c r="N9" s="9"/>
      <c r="O9" s="9"/>
      <c r="P9" s="9"/>
      <c r="Q9" s="9"/>
      <c r="R9" s="9"/>
      <c r="S9" s="9"/>
      <c r="T9" s="9"/>
      <c r="U9" s="9"/>
      <c r="V9" s="9"/>
    </row>
    <row r="10" spans="1:22">
      <c r="B10" s="23" t="s">
        <v>8</v>
      </c>
      <c r="C10" s="24">
        <v>127021</v>
      </c>
      <c r="D10" s="24">
        <v>1180653</v>
      </c>
      <c r="E10" s="76">
        <v>6.6151309238954923</v>
      </c>
      <c r="F10" s="12"/>
      <c r="G10" s="12"/>
      <c r="H10" s="12"/>
      <c r="M10" s="9"/>
      <c r="N10" s="9"/>
      <c r="O10" s="9"/>
      <c r="P10" s="9"/>
      <c r="Q10" s="9"/>
      <c r="R10" s="9"/>
      <c r="S10" s="9"/>
      <c r="T10" s="9"/>
      <c r="U10" s="9"/>
      <c r="V10" s="9"/>
    </row>
    <row r="11" spans="1:22" ht="24.95">
      <c r="B11" s="25" t="s">
        <v>9</v>
      </c>
      <c r="C11" s="26">
        <v>84442</v>
      </c>
      <c r="D11" s="26">
        <v>860520</v>
      </c>
      <c r="E11" s="77">
        <v>6.3727449644150784</v>
      </c>
      <c r="F11" s="12"/>
      <c r="G11" s="12"/>
      <c r="H11" s="12"/>
      <c r="M11" s="9"/>
      <c r="N11" s="9"/>
      <c r="O11" s="9"/>
      <c r="P11" s="9"/>
      <c r="Q11" s="9"/>
      <c r="R11" s="9"/>
      <c r="S11" s="9"/>
      <c r="T11" s="9"/>
      <c r="U11" s="9"/>
      <c r="V11" s="9"/>
    </row>
    <row r="12" spans="1:22" ht="24.95">
      <c r="B12" s="27" t="s">
        <v>10</v>
      </c>
      <c r="C12" s="28">
        <v>2846</v>
      </c>
      <c r="D12" s="28">
        <v>27481</v>
      </c>
      <c r="E12" s="77">
        <v>6.7038914332840571</v>
      </c>
      <c r="F12" s="12"/>
      <c r="G12" s="12"/>
      <c r="H12" s="12"/>
      <c r="M12" s="9"/>
      <c r="N12" s="9"/>
      <c r="O12" s="9"/>
      <c r="P12" s="9"/>
      <c r="Q12" s="9"/>
      <c r="R12" s="9"/>
      <c r="S12" s="9"/>
      <c r="T12" s="9"/>
      <c r="U12" s="9"/>
      <c r="V12" s="9"/>
    </row>
    <row r="13" spans="1:22" ht="24.95">
      <c r="B13" s="27" t="s">
        <v>11</v>
      </c>
      <c r="C13" s="28">
        <v>3181</v>
      </c>
      <c r="D13" s="28">
        <v>33668</v>
      </c>
      <c r="E13" s="77">
        <v>5.3207028067452269</v>
      </c>
      <c r="F13" s="12"/>
      <c r="G13" s="12"/>
      <c r="H13" s="12"/>
      <c r="M13" s="9"/>
      <c r="N13" s="9"/>
      <c r="O13" s="9"/>
      <c r="P13" s="9"/>
      <c r="Q13" s="9"/>
      <c r="R13" s="9"/>
      <c r="S13" s="9"/>
      <c r="T13" s="9"/>
      <c r="U13" s="9"/>
      <c r="V13" s="9"/>
    </row>
    <row r="14" spans="1:22" ht="24.95">
      <c r="B14" s="27" t="s">
        <v>12</v>
      </c>
      <c r="C14" s="28">
        <v>5941</v>
      </c>
      <c r="D14" s="28">
        <v>43130</v>
      </c>
      <c r="E14" s="77">
        <v>6.8462602929631498</v>
      </c>
      <c r="F14" s="12"/>
      <c r="G14" s="12"/>
      <c r="H14" s="12"/>
      <c r="M14" s="9"/>
      <c r="N14" s="9"/>
      <c r="O14" s="9"/>
      <c r="P14" s="9"/>
      <c r="Q14" s="9"/>
      <c r="R14" s="9"/>
      <c r="S14" s="9"/>
      <c r="T14" s="9"/>
      <c r="U14" s="9"/>
      <c r="V14" s="9"/>
    </row>
    <row r="15" spans="1:22" ht="50.1">
      <c r="B15" s="27" t="s">
        <v>13</v>
      </c>
      <c r="C15" s="28">
        <v>30611</v>
      </c>
      <c r="D15" s="28">
        <v>215854</v>
      </c>
      <c r="E15" s="78">
        <v>6.7382630057709028</v>
      </c>
      <c r="F15" s="12"/>
      <c r="G15" s="12"/>
      <c r="H15" s="12"/>
      <c r="M15" s="9"/>
      <c r="N15" s="9"/>
      <c r="O15" s="9"/>
      <c r="P15" s="9"/>
      <c r="Q15" s="9"/>
      <c r="R15" s="9"/>
      <c r="S15" s="9"/>
      <c r="T15" s="9"/>
      <c r="U15" s="9"/>
      <c r="V15" s="9"/>
    </row>
    <row r="16" spans="1:22">
      <c r="B16" s="29"/>
      <c r="C16" s="30"/>
      <c r="D16" s="31"/>
      <c r="E16" s="79"/>
      <c r="F16" s="12"/>
      <c r="G16" s="12"/>
      <c r="H16" s="12"/>
      <c r="M16" s="9"/>
      <c r="N16" s="9"/>
      <c r="O16" s="9"/>
      <c r="P16" s="9"/>
      <c r="Q16" s="9"/>
      <c r="R16" s="9"/>
      <c r="S16" s="9"/>
      <c r="T16" s="9"/>
      <c r="U16" s="9"/>
      <c r="V16" s="9"/>
    </row>
    <row r="17" spans="2:22">
      <c r="B17" s="23" t="s">
        <v>14</v>
      </c>
      <c r="C17" s="24">
        <v>127539</v>
      </c>
      <c r="D17" s="24">
        <v>1180653</v>
      </c>
      <c r="E17" s="76">
        <v>6.7365733880094201</v>
      </c>
      <c r="F17" s="12"/>
      <c r="G17" s="12"/>
      <c r="H17" s="12"/>
      <c r="M17" s="9"/>
      <c r="N17" s="9"/>
      <c r="O17" s="9"/>
      <c r="P17" s="9"/>
      <c r="Q17" s="9"/>
      <c r="R17" s="9"/>
      <c r="S17" s="9"/>
      <c r="T17" s="9"/>
      <c r="U17" s="9"/>
      <c r="V17" s="9"/>
    </row>
    <row r="18" spans="2:22" ht="24.95">
      <c r="B18" s="25" t="s">
        <v>15</v>
      </c>
      <c r="C18" s="26">
        <v>84780</v>
      </c>
      <c r="D18" s="26">
        <v>860520</v>
      </c>
      <c r="E18" s="77">
        <v>6.5363152528559931</v>
      </c>
      <c r="F18" s="12"/>
      <c r="G18" s="12"/>
      <c r="H18" s="12"/>
      <c r="M18" s="9"/>
      <c r="N18" s="9"/>
      <c r="O18" s="9"/>
      <c r="P18" s="9"/>
      <c r="Q18" s="9"/>
      <c r="R18" s="9"/>
      <c r="S18" s="9"/>
      <c r="T18" s="9"/>
      <c r="U18" s="9"/>
      <c r="V18" s="9"/>
    </row>
    <row r="19" spans="2:22" ht="24.95">
      <c r="B19" s="27" t="s">
        <v>16</v>
      </c>
      <c r="C19" s="28">
        <v>2852</v>
      </c>
      <c r="D19" s="28">
        <v>27481</v>
      </c>
      <c r="E19" s="78">
        <v>6.5705038744520534</v>
      </c>
      <c r="F19" s="12"/>
      <c r="G19" s="12"/>
      <c r="H19" s="12"/>
      <c r="M19" s="9"/>
      <c r="N19" s="9"/>
      <c r="O19" s="9"/>
      <c r="P19" s="9"/>
      <c r="Q19" s="9"/>
      <c r="R19" s="9"/>
      <c r="S19" s="9"/>
      <c r="T19" s="9"/>
      <c r="U19" s="9"/>
      <c r="V19" s="9"/>
    </row>
    <row r="20" spans="2:22" ht="24.95">
      <c r="B20" s="27" t="s">
        <v>17</v>
      </c>
      <c r="C20" s="28">
        <v>3186</v>
      </c>
      <c r="D20" s="28">
        <v>33668</v>
      </c>
      <c r="E20" s="78">
        <v>5.6549111270467929</v>
      </c>
      <c r="F20" s="12"/>
      <c r="G20" s="12"/>
      <c r="H20" s="12"/>
      <c r="M20" s="9"/>
      <c r="N20" s="9"/>
      <c r="O20" s="9"/>
      <c r="P20" s="9"/>
      <c r="Q20" s="9"/>
      <c r="R20" s="9"/>
      <c r="S20" s="9"/>
      <c r="T20" s="9"/>
      <c r="U20" s="9"/>
      <c r="V20" s="9"/>
    </row>
    <row r="21" spans="2:22" ht="24.95">
      <c r="B21" s="27" t="s">
        <v>18</v>
      </c>
      <c r="C21" s="28">
        <v>5952</v>
      </c>
      <c r="D21" s="28">
        <v>43130</v>
      </c>
      <c r="E21" s="78">
        <v>6.8639920745561414</v>
      </c>
      <c r="F21" s="12"/>
      <c r="G21" s="12"/>
      <c r="H21" s="12"/>
      <c r="M21" s="9"/>
      <c r="N21" s="9"/>
      <c r="O21" s="9"/>
      <c r="P21" s="9"/>
      <c r="Q21" s="9"/>
      <c r="R21" s="9"/>
      <c r="S21" s="9"/>
      <c r="T21" s="9"/>
      <c r="U21" s="9"/>
      <c r="V21" s="9"/>
    </row>
    <row r="22" spans="2:22" ht="50.1">
      <c r="B22" s="32" t="s">
        <v>19</v>
      </c>
      <c r="C22" s="33">
        <v>30769</v>
      </c>
      <c r="D22" s="33">
        <v>215854</v>
      </c>
      <c r="E22" s="80">
        <v>6.8407377033068126</v>
      </c>
      <c r="F22" s="12"/>
      <c r="G22" s="12"/>
      <c r="H22" s="12"/>
      <c r="M22" s="9"/>
      <c r="N22" s="9"/>
      <c r="O22" s="9"/>
      <c r="P22" s="9"/>
      <c r="Q22" s="9"/>
      <c r="R22" s="9"/>
      <c r="S22" s="9"/>
      <c r="T22" s="9"/>
      <c r="U22" s="9"/>
      <c r="V22" s="9"/>
    </row>
    <row r="23" spans="2:22">
      <c r="B23" s="29"/>
      <c r="C23" s="30"/>
      <c r="D23" s="31"/>
      <c r="E23" s="79"/>
      <c r="F23" s="12"/>
      <c r="G23" s="12"/>
      <c r="H23" s="12"/>
      <c r="M23" s="9"/>
      <c r="N23" s="9"/>
      <c r="O23" s="9"/>
      <c r="P23" s="9"/>
      <c r="Q23" s="9"/>
      <c r="R23" s="9"/>
      <c r="S23" s="9"/>
      <c r="T23" s="9"/>
      <c r="U23" s="9"/>
      <c r="V23" s="9"/>
    </row>
    <row r="24" spans="2:22">
      <c r="B24" s="23" t="s">
        <v>20</v>
      </c>
      <c r="C24" s="24">
        <v>127366</v>
      </c>
      <c r="D24" s="24">
        <v>1180653</v>
      </c>
      <c r="E24" s="76">
        <v>6.6465998251757403</v>
      </c>
      <c r="F24" s="12"/>
      <c r="G24" s="12"/>
      <c r="H24" s="12"/>
      <c r="M24" s="9"/>
      <c r="N24" s="9"/>
      <c r="O24" s="9"/>
      <c r="P24" s="9"/>
      <c r="Q24" s="9"/>
      <c r="R24" s="9"/>
      <c r="S24" s="9"/>
      <c r="T24" s="9"/>
      <c r="U24" s="9"/>
      <c r="V24" s="9"/>
    </row>
    <row r="25" spans="2:22" ht="24.95">
      <c r="B25" s="25" t="s">
        <v>21</v>
      </c>
      <c r="C25" s="26">
        <v>84679</v>
      </c>
      <c r="D25" s="26">
        <v>860520</v>
      </c>
      <c r="E25" s="81">
        <v>6.3145073490487551</v>
      </c>
      <c r="F25" s="12"/>
      <c r="G25" s="12"/>
      <c r="H25" s="12"/>
      <c r="M25" s="9"/>
      <c r="N25" s="9"/>
      <c r="O25" s="9"/>
      <c r="P25" s="9"/>
      <c r="Q25" s="9"/>
      <c r="R25" s="9"/>
      <c r="S25" s="9"/>
      <c r="T25" s="9"/>
      <c r="U25" s="9"/>
      <c r="V25" s="9"/>
    </row>
    <row r="26" spans="2:22" ht="24.95">
      <c r="B26" s="27" t="s">
        <v>22</v>
      </c>
      <c r="C26" s="28">
        <v>2861</v>
      </c>
      <c r="D26" s="28">
        <v>27481</v>
      </c>
      <c r="E26" s="78">
        <v>7.1632746598934629</v>
      </c>
      <c r="F26" s="12"/>
      <c r="G26" s="12"/>
      <c r="H26" s="12"/>
      <c r="M26" s="9"/>
      <c r="N26" s="9"/>
      <c r="O26" s="9"/>
      <c r="P26" s="9"/>
      <c r="Q26" s="9"/>
      <c r="R26" s="9"/>
      <c r="S26" s="9"/>
      <c r="T26" s="9"/>
      <c r="U26" s="9"/>
      <c r="V26" s="9"/>
    </row>
    <row r="27" spans="2:22" ht="24.95">
      <c r="B27" s="27" t="s">
        <v>23</v>
      </c>
      <c r="C27" s="28">
        <v>3181</v>
      </c>
      <c r="D27" s="28">
        <v>33668</v>
      </c>
      <c r="E27" s="78">
        <v>5.4472545761762703</v>
      </c>
      <c r="F27" s="12"/>
      <c r="G27" s="12"/>
      <c r="H27" s="12"/>
      <c r="M27" s="9"/>
      <c r="N27" s="9"/>
      <c r="O27" s="9"/>
      <c r="P27" s="9"/>
      <c r="Q27" s="9"/>
      <c r="R27" s="9"/>
      <c r="S27" s="9"/>
      <c r="T27" s="9"/>
      <c r="U27" s="9"/>
      <c r="V27" s="9"/>
    </row>
    <row r="28" spans="2:22" ht="24.95">
      <c r="B28" s="34" t="s">
        <v>24</v>
      </c>
      <c r="C28" s="28">
        <v>5960</v>
      </c>
      <c r="D28" s="28">
        <v>43130</v>
      </c>
      <c r="E28" s="78">
        <v>6.971589353782603</v>
      </c>
      <c r="F28" s="12"/>
      <c r="G28" s="12"/>
      <c r="H28" s="12"/>
      <c r="M28" s="9"/>
      <c r="N28" s="9"/>
      <c r="O28" s="9"/>
      <c r="P28" s="9"/>
      <c r="Q28" s="9"/>
      <c r="R28" s="9"/>
      <c r="S28" s="9"/>
      <c r="T28" s="9"/>
      <c r="U28" s="9"/>
      <c r="V28" s="9"/>
    </row>
    <row r="29" spans="2:22" ht="50.1">
      <c r="B29" s="32" t="s">
        <v>25</v>
      </c>
      <c r="C29" s="33">
        <v>30685</v>
      </c>
      <c r="D29" s="33">
        <v>215854</v>
      </c>
      <c r="E29" s="80">
        <v>6.6392823332713391</v>
      </c>
      <c r="F29" s="12"/>
      <c r="G29" s="12"/>
      <c r="H29" s="12"/>
      <c r="M29" s="9"/>
      <c r="N29" s="9"/>
      <c r="O29" s="9"/>
      <c r="P29" s="9"/>
      <c r="Q29" s="9"/>
      <c r="R29" s="9"/>
      <c r="S29" s="9"/>
      <c r="T29" s="9"/>
      <c r="U29" s="9"/>
      <c r="V29" s="9"/>
    </row>
    <row r="30" spans="2:22">
      <c r="B30" s="29"/>
      <c r="C30" s="30"/>
      <c r="D30" s="31"/>
      <c r="E30" s="79"/>
      <c r="F30" s="12"/>
      <c r="G30" s="12"/>
      <c r="H30" s="12"/>
      <c r="M30" s="9"/>
      <c r="N30" s="9"/>
      <c r="O30" s="9"/>
      <c r="P30" s="9"/>
      <c r="Q30" s="9"/>
      <c r="R30" s="9"/>
      <c r="S30" s="9"/>
      <c r="T30" s="9"/>
      <c r="U30" s="9"/>
      <c r="V30" s="9"/>
    </row>
    <row r="31" spans="2:22">
      <c r="B31" s="23" t="s">
        <v>26</v>
      </c>
      <c r="C31" s="24">
        <v>127641</v>
      </c>
      <c r="D31" s="24">
        <v>1180653</v>
      </c>
      <c r="E31" s="76">
        <v>6.4622195585013174</v>
      </c>
      <c r="F31" s="12"/>
      <c r="G31" s="12"/>
      <c r="H31" s="12"/>
    </row>
    <row r="32" spans="2:22" ht="24.95">
      <c r="B32" s="35" t="s">
        <v>27</v>
      </c>
      <c r="C32" s="36">
        <v>84844</v>
      </c>
      <c r="D32" s="36">
        <v>860520</v>
      </c>
      <c r="E32" s="82">
        <v>6.2674122913404879</v>
      </c>
      <c r="F32" s="12"/>
      <c r="G32" s="12"/>
      <c r="H32" s="12"/>
    </row>
    <row r="33" spans="2:8" ht="24.95">
      <c r="B33" s="37" t="s">
        <v>28</v>
      </c>
      <c r="C33" s="38">
        <v>2862</v>
      </c>
      <c r="D33" s="38">
        <v>27481</v>
      </c>
      <c r="E33" s="83">
        <v>6.3778957655066568</v>
      </c>
      <c r="F33" s="12"/>
      <c r="G33" s="12"/>
      <c r="H33" s="12"/>
    </row>
    <row r="34" spans="2:8" ht="24.95">
      <c r="B34" s="37" t="s">
        <v>29</v>
      </c>
      <c r="C34" s="38">
        <v>3187</v>
      </c>
      <c r="D34" s="38">
        <v>33668</v>
      </c>
      <c r="E34" s="83">
        <v>4.8599427170126228</v>
      </c>
      <c r="F34" s="12"/>
      <c r="G34" s="12"/>
      <c r="H34" s="12"/>
    </row>
    <row r="35" spans="2:8" ht="24.95">
      <c r="B35" s="39" t="s">
        <v>30</v>
      </c>
      <c r="C35" s="38">
        <v>5972</v>
      </c>
      <c r="D35" s="38">
        <v>43130</v>
      </c>
      <c r="E35" s="83">
        <v>6.7031994505507058</v>
      </c>
    </row>
    <row r="36" spans="2:8" ht="50.1">
      <c r="B36" s="40" t="s">
        <v>31</v>
      </c>
      <c r="C36" s="41">
        <v>30776</v>
      </c>
      <c r="D36" s="41">
        <v>215854</v>
      </c>
      <c r="E36" s="84">
        <v>6.7347689807345548</v>
      </c>
    </row>
    <row r="37" spans="2:8">
      <c r="B37" s="19"/>
      <c r="C37" s="42"/>
      <c r="D37" s="42"/>
      <c r="E37" s="43"/>
    </row>
    <row r="38" spans="2:8">
      <c r="B38" s="19"/>
      <c r="C38" s="17"/>
      <c r="D38" s="17"/>
      <c r="E38" s="17"/>
      <c r="F38" s="12"/>
      <c r="G38" s="12"/>
      <c r="H38" s="12"/>
    </row>
    <row r="39" spans="2:8">
      <c r="B39" s="19"/>
      <c r="C39" s="17"/>
      <c r="D39" s="17"/>
      <c r="E39" s="17"/>
      <c r="F39" s="12"/>
      <c r="G39" s="12"/>
      <c r="H39" s="12"/>
    </row>
    <row r="40" spans="2:8">
      <c r="B40" s="19"/>
      <c r="C40" s="17"/>
      <c r="D40" s="17"/>
      <c r="E40" s="17"/>
    </row>
    <row r="41" spans="2:8">
      <c r="B41" s="19"/>
      <c r="C41" s="17"/>
      <c r="D41" s="17"/>
      <c r="E41" s="17"/>
    </row>
    <row r="42" spans="2:8">
      <c r="B42" s="19"/>
      <c r="C42" s="17"/>
      <c r="D42" s="17"/>
      <c r="E42" s="17"/>
    </row>
    <row r="43" spans="2:8">
      <c r="B43" s="19"/>
      <c r="C43" s="17"/>
      <c r="D43" s="17"/>
      <c r="E43" s="17"/>
    </row>
    <row r="44" spans="2:8">
      <c r="B44" s="19"/>
      <c r="C44" s="17"/>
      <c r="D44" s="17"/>
      <c r="E44" s="17"/>
    </row>
    <row r="45" spans="2:8">
      <c r="B45" s="19"/>
      <c r="C45" s="17"/>
      <c r="D45" s="17"/>
      <c r="E45" s="17"/>
    </row>
    <row r="46" spans="2:8">
      <c r="B46" s="19"/>
      <c r="C46" s="17"/>
      <c r="D46" s="17"/>
      <c r="E46" s="17"/>
    </row>
    <row r="47" spans="2:8">
      <c r="B47" s="19"/>
      <c r="C47" s="17"/>
      <c r="D47" s="17"/>
      <c r="E47" s="17"/>
    </row>
    <row r="48" spans="2:8">
      <c r="B48" s="19"/>
      <c r="C48" s="17"/>
      <c r="D48" s="17"/>
      <c r="E48" s="17"/>
    </row>
    <row r="49" spans="2:5">
      <c r="B49" s="19"/>
      <c r="C49" s="17"/>
      <c r="D49" s="17"/>
      <c r="E49" s="17"/>
    </row>
    <row r="50" spans="2:5">
      <c r="B50" s="19"/>
      <c r="C50" s="17"/>
      <c r="D50" s="17"/>
      <c r="E50" s="17"/>
    </row>
    <row r="51" spans="2:5">
      <c r="B51" s="19"/>
      <c r="C51" s="17"/>
      <c r="D51" s="17"/>
      <c r="E51" s="17"/>
    </row>
    <row r="52" spans="2:5">
      <c r="B52" s="19"/>
      <c r="C52" s="17"/>
      <c r="D52" s="17"/>
      <c r="E52" s="17"/>
    </row>
    <row r="53" spans="2:5">
      <c r="B53" s="19"/>
      <c r="C53" s="17"/>
      <c r="D53" s="17"/>
      <c r="E53" s="17"/>
    </row>
    <row r="54" spans="2:5">
      <c r="B54" s="19"/>
      <c r="C54" s="17"/>
      <c r="D54" s="17"/>
      <c r="E54" s="17"/>
    </row>
    <row r="55" spans="2:5">
      <c r="B55" s="19"/>
      <c r="C55" s="17"/>
      <c r="D55" s="17"/>
      <c r="E55" s="17"/>
    </row>
    <row r="56" spans="2:5">
      <c r="B56" s="19"/>
      <c r="C56" s="17"/>
      <c r="D56" s="17"/>
      <c r="E56" s="17"/>
    </row>
    <row r="57" spans="2:5">
      <c r="B57" s="19"/>
      <c r="C57" s="17"/>
      <c r="D57" s="17"/>
      <c r="E57" s="17"/>
    </row>
    <row r="58" spans="2:5">
      <c r="B58" s="19"/>
      <c r="C58" s="17"/>
      <c r="D58" s="17"/>
      <c r="E58" s="17"/>
    </row>
    <row r="59" spans="2:5">
      <c r="B59" s="19"/>
      <c r="C59" s="17"/>
      <c r="D59" s="17"/>
      <c r="E59" s="17"/>
    </row>
    <row r="60" spans="2:5">
      <c r="B60" s="19"/>
      <c r="C60" s="17"/>
      <c r="D60" s="17"/>
      <c r="E60" s="17"/>
    </row>
    <row r="61" spans="2:5">
      <c r="B61" s="19"/>
      <c r="C61" s="17"/>
      <c r="D61" s="17"/>
      <c r="E61" s="17"/>
    </row>
    <row r="62" spans="2:5">
      <c r="B62" s="19"/>
      <c r="C62" s="17"/>
      <c r="D62" s="17"/>
      <c r="E62" s="17"/>
    </row>
    <row r="63" spans="2:5">
      <c r="B63" s="19"/>
      <c r="C63" s="17"/>
      <c r="D63" s="17"/>
      <c r="E63" s="17"/>
    </row>
    <row r="64" spans="2:5">
      <c r="B64" s="19"/>
      <c r="C64" s="17"/>
      <c r="D64" s="17"/>
      <c r="E64" s="17"/>
    </row>
    <row r="65" spans="2:5">
      <c r="B65" s="19"/>
      <c r="C65" s="17"/>
      <c r="D65" s="17"/>
      <c r="E65" s="17"/>
    </row>
    <row r="66" spans="2:5">
      <c r="B66" s="19"/>
    </row>
    <row r="67" spans="2:5">
      <c r="B67" s="19"/>
    </row>
    <row r="68" spans="2:5">
      <c r="B68" s="19"/>
    </row>
    <row r="69" spans="2:5">
      <c r="B69" s="19"/>
    </row>
    <row r="70" spans="2:5">
      <c r="B70" s="19"/>
    </row>
    <row r="71" spans="2:5">
      <c r="B71" s="19"/>
    </row>
    <row r="72" spans="2:5">
      <c r="B72" s="19"/>
    </row>
    <row r="73" spans="2:5">
      <c r="B73" s="19"/>
    </row>
    <row r="74" spans="2:5">
      <c r="B74" s="19"/>
    </row>
    <row r="75" spans="2:5">
      <c r="B75" s="17"/>
    </row>
    <row r="76" spans="2:5">
      <c r="B76" s="17"/>
    </row>
    <row r="77" spans="2:5">
      <c r="B77" s="17"/>
    </row>
    <row r="78" spans="2:5">
      <c r="B78" s="17"/>
    </row>
    <row r="79" spans="2:5">
      <c r="B79" s="17"/>
    </row>
    <row r="80" spans="2:5">
      <c r="B80" s="17"/>
    </row>
    <row r="81" spans="2:2">
      <c r="B81" s="17"/>
    </row>
    <row r="82" spans="2:2">
      <c r="B82" s="17"/>
    </row>
    <row r="83" spans="2:2">
      <c r="B83" s="17"/>
    </row>
    <row r="84" spans="2:2">
      <c r="B84" s="17"/>
    </row>
    <row r="85" spans="2:2">
      <c r="B85" s="17"/>
    </row>
    <row r="86" spans="2:2">
      <c r="B86" s="17"/>
    </row>
    <row r="87" spans="2:2">
      <c r="B87" s="17"/>
    </row>
    <row r="88" spans="2:2">
      <c r="B88" s="17"/>
    </row>
    <row r="89" spans="2:2">
      <c r="B89" s="17"/>
    </row>
    <row r="90" spans="2:2">
      <c r="B90" s="17"/>
    </row>
    <row r="91" spans="2:2">
      <c r="B91" s="17"/>
    </row>
    <row r="92" spans="2:2">
      <c r="B92" s="17"/>
    </row>
    <row r="93" spans="2:2">
      <c r="B93" s="17"/>
    </row>
    <row r="94" spans="2:2">
      <c r="B94" s="17"/>
    </row>
    <row r="95" spans="2:2">
      <c r="B95" s="17"/>
    </row>
    <row r="96" spans="2:2">
      <c r="B96" s="17"/>
    </row>
    <row r="97" spans="2:2">
      <c r="B97" s="17"/>
    </row>
    <row r="98" spans="2:2">
      <c r="B98" s="17"/>
    </row>
    <row r="99" spans="2:2">
      <c r="B99" s="17"/>
    </row>
    <row r="100" spans="2:2">
      <c r="B100" s="17"/>
    </row>
    <row r="101" spans="2:2">
      <c r="B101" s="17"/>
    </row>
    <row r="102" spans="2:2">
      <c r="B102" s="17"/>
    </row>
    <row r="103" spans="2:2">
      <c r="B103" s="17"/>
    </row>
    <row r="104" spans="2:2">
      <c r="B104" s="17"/>
    </row>
    <row r="105" spans="2:2">
      <c r="B105" s="17"/>
    </row>
    <row r="106" spans="2:2">
      <c r="B106" s="17"/>
    </row>
    <row r="107" spans="2:2">
      <c r="B107" s="17"/>
    </row>
    <row r="108" spans="2:2">
      <c r="B108" s="17"/>
    </row>
    <row r="109" spans="2:2">
      <c r="B109" s="17"/>
    </row>
    <row r="110" spans="2:2">
      <c r="B110" s="17"/>
    </row>
    <row r="111" spans="2:2">
      <c r="B111" s="17"/>
    </row>
    <row r="112" spans="2:2">
      <c r="B112" s="17"/>
    </row>
    <row r="113" spans="2:2">
      <c r="B113" s="17"/>
    </row>
    <row r="114" spans="2:2">
      <c r="B114" s="17"/>
    </row>
    <row r="115" spans="2:2">
      <c r="B115" s="17"/>
    </row>
    <row r="116" spans="2:2">
      <c r="B116" s="17"/>
    </row>
    <row r="117" spans="2:2">
      <c r="B117" s="17"/>
    </row>
    <row r="118" spans="2:2">
      <c r="B118" s="17"/>
    </row>
    <row r="119" spans="2:2">
      <c r="B119" s="17"/>
    </row>
    <row r="120" spans="2:2">
      <c r="B120" s="17"/>
    </row>
    <row r="121" spans="2:2">
      <c r="B121" s="17"/>
    </row>
    <row r="122" spans="2:2">
      <c r="B122" s="17"/>
    </row>
    <row r="123" spans="2:2">
      <c r="B123" s="17"/>
    </row>
    <row r="124" spans="2:2">
      <c r="B124" s="17"/>
    </row>
    <row r="125" spans="2:2">
      <c r="B125" s="17"/>
    </row>
    <row r="126" spans="2:2">
      <c r="B126" s="17"/>
    </row>
    <row r="127" spans="2:2">
      <c r="B127" s="17"/>
    </row>
    <row r="128" spans="2:2">
      <c r="B128" s="17"/>
    </row>
    <row r="129" spans="2:2">
      <c r="B129" s="17"/>
    </row>
    <row r="130" spans="2:2">
      <c r="B130" s="17"/>
    </row>
    <row r="131" spans="2:2">
      <c r="B131" s="17"/>
    </row>
    <row r="132" spans="2:2">
      <c r="B132" s="17"/>
    </row>
    <row r="133" spans="2:2">
      <c r="B133" s="17"/>
    </row>
    <row r="134" spans="2:2">
      <c r="B134" s="17"/>
    </row>
    <row r="135" spans="2:2">
      <c r="B135" s="17"/>
    </row>
    <row r="136" spans="2:2">
      <c r="B136" s="17"/>
    </row>
    <row r="137" spans="2:2">
      <c r="B137" s="17"/>
    </row>
    <row r="138" spans="2:2">
      <c r="B138" s="17"/>
    </row>
    <row r="139" spans="2:2">
      <c r="B139" s="17"/>
    </row>
    <row r="140" spans="2:2">
      <c r="B140" s="17"/>
    </row>
    <row r="141" spans="2:2">
      <c r="B141" s="17"/>
    </row>
    <row r="142" spans="2:2">
      <c r="B142" s="17"/>
    </row>
    <row r="143" spans="2:2">
      <c r="B143" s="17"/>
    </row>
    <row r="144" spans="2:2">
      <c r="B144" s="17"/>
    </row>
    <row r="145" spans="2:2">
      <c r="B145" s="17"/>
    </row>
    <row r="146" spans="2:2">
      <c r="B146" s="17"/>
    </row>
    <row r="147" spans="2:2">
      <c r="B147" s="17"/>
    </row>
    <row r="148" spans="2:2">
      <c r="B148" s="17"/>
    </row>
    <row r="149" spans="2:2">
      <c r="B149" s="17"/>
    </row>
    <row r="150" spans="2:2">
      <c r="B150" s="17"/>
    </row>
    <row r="151" spans="2:2">
      <c r="B151" s="17"/>
    </row>
    <row r="152" spans="2:2">
      <c r="B152" s="17"/>
    </row>
    <row r="153" spans="2:2">
      <c r="B153" s="17"/>
    </row>
    <row r="154" spans="2:2">
      <c r="B154" s="17"/>
    </row>
    <row r="155" spans="2:2">
      <c r="B155" s="17"/>
    </row>
    <row r="156" spans="2:2">
      <c r="B156" s="17"/>
    </row>
    <row r="157" spans="2:2">
      <c r="B157" s="17"/>
    </row>
    <row r="158" spans="2:2">
      <c r="B158" s="17"/>
    </row>
    <row r="159" spans="2:2">
      <c r="B159" s="17"/>
    </row>
    <row r="160" spans="2:2">
      <c r="B160" s="17"/>
    </row>
    <row r="161" spans="2:2">
      <c r="B161" s="17"/>
    </row>
    <row r="162" spans="2:2">
      <c r="B162" s="17"/>
    </row>
    <row r="163" spans="2:2">
      <c r="B163" s="17"/>
    </row>
    <row r="164" spans="2:2">
      <c r="B164" s="17"/>
    </row>
    <row r="165" spans="2:2">
      <c r="B165" s="17"/>
    </row>
    <row r="166" spans="2:2">
      <c r="B166" s="17"/>
    </row>
    <row r="167" spans="2:2">
      <c r="B167" s="17"/>
    </row>
    <row r="168" spans="2:2">
      <c r="B168" s="17"/>
    </row>
    <row r="169" spans="2:2">
      <c r="B169" s="17"/>
    </row>
    <row r="170" spans="2:2">
      <c r="B170" s="17"/>
    </row>
    <row r="171" spans="2:2">
      <c r="B171" s="17"/>
    </row>
    <row r="172" spans="2:2">
      <c r="B172" s="17"/>
    </row>
    <row r="173" spans="2:2">
      <c r="B173" s="17"/>
    </row>
    <row r="174" spans="2:2">
      <c r="B174" s="17"/>
    </row>
    <row r="175" spans="2:2">
      <c r="B175" s="17"/>
    </row>
    <row r="176" spans="2:2">
      <c r="B176" s="17"/>
    </row>
    <row r="177" spans="2:2">
      <c r="B177" s="17"/>
    </row>
    <row r="178" spans="2:2">
      <c r="B178" s="17"/>
    </row>
    <row r="179" spans="2:2">
      <c r="B179" s="17"/>
    </row>
    <row r="180" spans="2:2">
      <c r="B180" s="17"/>
    </row>
    <row r="181" spans="2:2">
      <c r="B181" s="17"/>
    </row>
    <row r="182" spans="2:2">
      <c r="B182" s="17"/>
    </row>
    <row r="183" spans="2:2">
      <c r="B183" s="17"/>
    </row>
    <row r="184" spans="2:2">
      <c r="B184" s="17"/>
    </row>
    <row r="185" spans="2:2">
      <c r="B185" s="17"/>
    </row>
    <row r="186" spans="2:2">
      <c r="B186" s="17"/>
    </row>
    <row r="187" spans="2:2">
      <c r="B187" s="17"/>
    </row>
    <row r="188" spans="2:2">
      <c r="B188" s="17"/>
    </row>
    <row r="189" spans="2:2">
      <c r="B189" s="17"/>
    </row>
    <row r="190" spans="2:2">
      <c r="B190" s="12"/>
    </row>
    <row r="191" spans="2:2">
      <c r="B191" s="12"/>
    </row>
    <row r="192" spans="2:2">
      <c r="B192" s="12"/>
    </row>
    <row r="193" spans="2:2">
      <c r="B193" s="12"/>
    </row>
    <row r="194" spans="2:2">
      <c r="B194" s="12"/>
    </row>
    <row r="195" spans="2:2">
      <c r="B195" s="12"/>
    </row>
    <row r="196" spans="2:2">
      <c r="B196" s="12"/>
    </row>
    <row r="197" spans="2:2">
      <c r="B197" s="12"/>
    </row>
    <row r="198" spans="2:2">
      <c r="B198" s="12"/>
    </row>
    <row r="199" spans="2:2">
      <c r="B199" s="12"/>
    </row>
    <row r="200" spans="2:2">
      <c r="B200" s="12"/>
    </row>
    <row r="201" spans="2:2">
      <c r="B201" s="12"/>
    </row>
    <row r="202" spans="2:2">
      <c r="B202" s="12"/>
    </row>
    <row r="203" spans="2:2">
      <c r="B203" s="12"/>
    </row>
    <row r="204" spans="2:2">
      <c r="B204" s="12"/>
    </row>
    <row r="205" spans="2:2">
      <c r="B205" s="12"/>
    </row>
    <row r="206" spans="2:2">
      <c r="B206" s="12"/>
    </row>
    <row r="207" spans="2:2">
      <c r="B207" s="12"/>
    </row>
    <row r="208" spans="2:2">
      <c r="B208" s="12"/>
    </row>
    <row r="209" spans="2:2">
      <c r="B209" s="12"/>
    </row>
    <row r="210" spans="2:2">
      <c r="B210" s="12"/>
    </row>
    <row r="211" spans="2:2">
      <c r="B211" s="12"/>
    </row>
    <row r="212" spans="2:2">
      <c r="B212" s="12"/>
    </row>
    <row r="213" spans="2:2">
      <c r="B213" s="12"/>
    </row>
    <row r="214" spans="2:2">
      <c r="B214" s="12"/>
    </row>
    <row r="215" spans="2:2">
      <c r="B215" s="12"/>
    </row>
    <row r="216" spans="2:2">
      <c r="B216" s="12"/>
    </row>
    <row r="217" spans="2:2">
      <c r="B217" s="12"/>
    </row>
    <row r="218" spans="2:2">
      <c r="B218" s="12"/>
    </row>
    <row r="219" spans="2:2">
      <c r="B219" s="12"/>
    </row>
    <row r="220" spans="2:2">
      <c r="B220" s="12"/>
    </row>
    <row r="221" spans="2:2">
      <c r="B221" s="12"/>
    </row>
    <row r="222" spans="2:2">
      <c r="B222" s="12"/>
    </row>
    <row r="223" spans="2:2">
      <c r="B223" s="12"/>
    </row>
    <row r="224" spans="2:2">
      <c r="B224" s="12"/>
    </row>
    <row r="225" spans="2:2">
      <c r="B225" s="12"/>
    </row>
    <row r="226" spans="2:2">
      <c r="B226" s="12"/>
    </row>
    <row r="227" spans="2:2">
      <c r="B227" s="12"/>
    </row>
    <row r="228" spans="2:2">
      <c r="B228" s="12"/>
    </row>
    <row r="229" spans="2:2">
      <c r="B229" s="12"/>
    </row>
    <row r="230" spans="2:2">
      <c r="B230" s="12"/>
    </row>
    <row r="231" spans="2:2">
      <c r="B231" s="12"/>
    </row>
    <row r="232" spans="2:2">
      <c r="B232" s="12"/>
    </row>
    <row r="233" spans="2:2">
      <c r="B233" s="12"/>
    </row>
    <row r="234" spans="2:2">
      <c r="B234" s="12"/>
    </row>
    <row r="235" spans="2:2">
      <c r="B235" s="12"/>
    </row>
    <row r="236" spans="2:2">
      <c r="B236" s="12"/>
    </row>
    <row r="237" spans="2:2">
      <c r="B237" s="12"/>
    </row>
    <row r="238" spans="2:2">
      <c r="B238" s="12"/>
    </row>
    <row r="239" spans="2:2">
      <c r="B239" s="12"/>
    </row>
    <row r="240" spans="2:2">
      <c r="B240" s="12"/>
    </row>
    <row r="241" spans="2:2">
      <c r="B241" s="12"/>
    </row>
    <row r="242" spans="2:2">
      <c r="B242" s="12"/>
    </row>
    <row r="243" spans="2:2">
      <c r="B243" s="12"/>
    </row>
    <row r="244" spans="2:2">
      <c r="B244" s="12"/>
    </row>
    <row r="245" spans="2:2">
      <c r="B245" s="12"/>
    </row>
    <row r="246" spans="2:2">
      <c r="B246" s="12"/>
    </row>
    <row r="247" spans="2:2">
      <c r="B247" s="12"/>
    </row>
    <row r="248" spans="2:2">
      <c r="B248" s="12"/>
    </row>
    <row r="249" spans="2:2">
      <c r="B249" s="12"/>
    </row>
    <row r="250" spans="2:2">
      <c r="B250" s="12"/>
    </row>
    <row r="251" spans="2:2">
      <c r="B251" s="12"/>
    </row>
    <row r="252" spans="2:2">
      <c r="B252" s="12"/>
    </row>
    <row r="253" spans="2:2">
      <c r="B253" s="12"/>
    </row>
    <row r="254" spans="2:2">
      <c r="B254" s="12"/>
    </row>
    <row r="255" spans="2:2">
      <c r="B255" s="12"/>
    </row>
    <row r="256" spans="2:2">
      <c r="B256" s="12"/>
    </row>
    <row r="257" spans="2:2">
      <c r="B257" s="12"/>
    </row>
    <row r="258" spans="2:2">
      <c r="B258" s="12"/>
    </row>
    <row r="259" spans="2:2">
      <c r="B259" s="12"/>
    </row>
    <row r="260" spans="2:2">
      <c r="B260" s="12"/>
    </row>
    <row r="261" spans="2:2">
      <c r="B261" s="12"/>
    </row>
    <row r="262" spans="2:2">
      <c r="B262" s="12"/>
    </row>
    <row r="263" spans="2:2">
      <c r="B263" s="12"/>
    </row>
    <row r="264" spans="2:2">
      <c r="B264" s="12"/>
    </row>
    <row r="265" spans="2:2">
      <c r="B265" s="12"/>
    </row>
    <row r="266" spans="2:2">
      <c r="B266" s="12"/>
    </row>
    <row r="267" spans="2:2">
      <c r="B267" s="12"/>
    </row>
    <row r="268" spans="2:2">
      <c r="B268" s="12"/>
    </row>
    <row r="269" spans="2:2">
      <c r="B269" s="12"/>
    </row>
    <row r="270" spans="2:2">
      <c r="B270" s="12"/>
    </row>
    <row r="271" spans="2:2">
      <c r="B271" s="12"/>
    </row>
    <row r="272" spans="2:2">
      <c r="B272" s="12"/>
    </row>
    <row r="273" spans="2:2">
      <c r="B273" s="12"/>
    </row>
    <row r="274" spans="2:2">
      <c r="B274" s="12"/>
    </row>
    <row r="275" spans="2:2">
      <c r="B275" s="12"/>
    </row>
    <row r="276" spans="2:2">
      <c r="B276" s="12"/>
    </row>
    <row r="277" spans="2:2">
      <c r="B277" s="12"/>
    </row>
    <row r="278" spans="2:2">
      <c r="B278" s="12"/>
    </row>
    <row r="279" spans="2:2">
      <c r="B279" s="12"/>
    </row>
    <row r="280" spans="2:2">
      <c r="B280" s="12"/>
    </row>
    <row r="281" spans="2:2">
      <c r="B281" s="12"/>
    </row>
    <row r="282" spans="2:2">
      <c r="B282" s="12"/>
    </row>
    <row r="283" spans="2:2">
      <c r="B283" s="12"/>
    </row>
    <row r="284" spans="2:2">
      <c r="B284" s="12"/>
    </row>
    <row r="285" spans="2:2">
      <c r="B285" s="12"/>
    </row>
    <row r="286" spans="2:2">
      <c r="B286" s="12"/>
    </row>
    <row r="287" spans="2:2">
      <c r="B287" s="12"/>
    </row>
    <row r="288" spans="2:2">
      <c r="B288" s="12"/>
    </row>
    <row r="289" spans="2:2">
      <c r="B289" s="12"/>
    </row>
    <row r="290" spans="2:2">
      <c r="B290" s="12"/>
    </row>
    <row r="291" spans="2:2">
      <c r="B291" s="12"/>
    </row>
    <row r="292" spans="2:2">
      <c r="B292" s="12"/>
    </row>
    <row r="293" spans="2:2">
      <c r="B293" s="12"/>
    </row>
    <row r="294" spans="2:2">
      <c r="B294" s="12"/>
    </row>
    <row r="295" spans="2:2">
      <c r="B295" s="12"/>
    </row>
    <row r="296" spans="2:2">
      <c r="B296" s="12"/>
    </row>
    <row r="297" spans="2:2">
      <c r="B297" s="12"/>
    </row>
    <row r="298" spans="2:2">
      <c r="B298" s="12"/>
    </row>
    <row r="299" spans="2:2">
      <c r="B299" s="12"/>
    </row>
    <row r="300" spans="2:2">
      <c r="B300" s="12"/>
    </row>
    <row r="301" spans="2:2">
      <c r="B301" s="12"/>
    </row>
    <row r="302" spans="2:2">
      <c r="B302" s="12"/>
    </row>
    <row r="303" spans="2:2">
      <c r="B303" s="12"/>
    </row>
    <row r="304" spans="2:2">
      <c r="B304" s="12"/>
    </row>
    <row r="305" spans="2:2">
      <c r="B305" s="12"/>
    </row>
    <row r="306" spans="2:2">
      <c r="B306" s="12"/>
    </row>
    <row r="307" spans="2:2">
      <c r="B307" s="12"/>
    </row>
    <row r="308" spans="2:2">
      <c r="B308" s="12"/>
    </row>
    <row r="309" spans="2:2">
      <c r="B309" s="12"/>
    </row>
    <row r="310" spans="2:2">
      <c r="B310" s="12"/>
    </row>
    <row r="311" spans="2:2">
      <c r="B311" s="12"/>
    </row>
    <row r="312" spans="2:2">
      <c r="B312" s="12"/>
    </row>
    <row r="313" spans="2:2">
      <c r="B313" s="12"/>
    </row>
    <row r="314" spans="2:2">
      <c r="B314" s="12"/>
    </row>
    <row r="315" spans="2:2">
      <c r="B315" s="12"/>
    </row>
    <row r="316" spans="2:2">
      <c r="B316" s="12"/>
    </row>
    <row r="317" spans="2:2">
      <c r="B317" s="12"/>
    </row>
    <row r="318" spans="2:2">
      <c r="B318" s="12"/>
    </row>
    <row r="319" spans="2:2">
      <c r="B319" s="12"/>
    </row>
    <row r="320" spans="2:2">
      <c r="B320" s="12"/>
    </row>
    <row r="321" spans="2:2">
      <c r="B321" s="12"/>
    </row>
    <row r="322" spans="2:2">
      <c r="B322" s="12"/>
    </row>
    <row r="323" spans="2:2">
      <c r="B323" s="12"/>
    </row>
    <row r="324" spans="2:2">
      <c r="B324" s="12"/>
    </row>
    <row r="325" spans="2:2">
      <c r="B325" s="12"/>
    </row>
    <row r="326" spans="2:2">
      <c r="B326" s="12"/>
    </row>
    <row r="327" spans="2:2">
      <c r="B327" s="12"/>
    </row>
    <row r="328" spans="2:2">
      <c r="B328" s="12"/>
    </row>
    <row r="329" spans="2:2">
      <c r="B329" s="12"/>
    </row>
    <row r="330" spans="2:2">
      <c r="B330" s="12"/>
    </row>
    <row r="331" spans="2:2">
      <c r="B331" s="12"/>
    </row>
    <row r="332" spans="2:2">
      <c r="B332" s="12"/>
    </row>
    <row r="333" spans="2:2">
      <c r="B333" s="12"/>
    </row>
    <row r="334" spans="2:2">
      <c r="B334" s="12"/>
    </row>
    <row r="335" spans="2:2">
      <c r="B335" s="12"/>
    </row>
    <row r="336" spans="2:2">
      <c r="B336" s="12"/>
    </row>
    <row r="337" spans="2:2">
      <c r="B337" s="12"/>
    </row>
    <row r="338" spans="2:2">
      <c r="B338" s="12"/>
    </row>
    <row r="339" spans="2:2">
      <c r="B339" s="12"/>
    </row>
    <row r="340" spans="2:2">
      <c r="B340" s="12"/>
    </row>
    <row r="341" spans="2:2">
      <c r="B341" s="12"/>
    </row>
    <row r="342" spans="2:2">
      <c r="B342" s="12"/>
    </row>
    <row r="343" spans="2:2">
      <c r="B343" s="12"/>
    </row>
    <row r="344" spans="2:2">
      <c r="B344" s="12"/>
    </row>
    <row r="345" spans="2:2">
      <c r="B345" s="12"/>
    </row>
    <row r="346" spans="2:2">
      <c r="B346" s="12"/>
    </row>
    <row r="347" spans="2:2">
      <c r="B347" s="12"/>
    </row>
    <row r="348" spans="2:2">
      <c r="B348" s="12"/>
    </row>
    <row r="349" spans="2:2">
      <c r="B349" s="12"/>
    </row>
    <row r="350" spans="2:2">
      <c r="B350" s="12"/>
    </row>
    <row r="351" spans="2:2">
      <c r="B351" s="12"/>
    </row>
    <row r="352" spans="2:2">
      <c r="B352" s="12"/>
    </row>
    <row r="353" spans="2:2">
      <c r="B353" s="12"/>
    </row>
    <row r="354" spans="2:2">
      <c r="B354" s="12"/>
    </row>
    <row r="355" spans="2:2">
      <c r="B355" s="12"/>
    </row>
    <row r="356" spans="2:2">
      <c r="B356" s="12"/>
    </row>
    <row r="357" spans="2:2">
      <c r="B357" s="12"/>
    </row>
    <row r="358" spans="2:2">
      <c r="B358" s="12"/>
    </row>
    <row r="359" spans="2:2">
      <c r="B359" s="12"/>
    </row>
    <row r="360" spans="2:2">
      <c r="B360" s="12"/>
    </row>
    <row r="361" spans="2:2">
      <c r="B361" s="12"/>
    </row>
    <row r="362" spans="2:2">
      <c r="B362" s="12"/>
    </row>
    <row r="363" spans="2:2">
      <c r="B363" s="12"/>
    </row>
    <row r="364" spans="2:2">
      <c r="B364" s="12"/>
    </row>
    <row r="365" spans="2:2">
      <c r="B365" s="12"/>
    </row>
    <row r="366" spans="2:2">
      <c r="B366" s="12"/>
    </row>
    <row r="367" spans="2:2">
      <c r="B367" s="12"/>
    </row>
    <row r="368" spans="2:2">
      <c r="B368" s="12"/>
    </row>
    <row r="369" spans="2:2">
      <c r="B369" s="12"/>
    </row>
    <row r="370" spans="2:2">
      <c r="B370" s="12"/>
    </row>
    <row r="371" spans="2:2">
      <c r="B371" s="12"/>
    </row>
    <row r="372" spans="2:2">
      <c r="B372" s="12"/>
    </row>
    <row r="373" spans="2:2">
      <c r="B373" s="12"/>
    </row>
    <row r="374" spans="2:2">
      <c r="B374" s="12"/>
    </row>
    <row r="375" spans="2:2">
      <c r="B375" s="12"/>
    </row>
    <row r="376" spans="2:2">
      <c r="B376" s="12"/>
    </row>
    <row r="377" spans="2:2">
      <c r="B377" s="12"/>
    </row>
    <row r="378" spans="2:2">
      <c r="B378" s="12"/>
    </row>
    <row r="379" spans="2:2">
      <c r="B379" s="12"/>
    </row>
    <row r="380" spans="2:2">
      <c r="B380" s="12"/>
    </row>
    <row r="381" spans="2:2">
      <c r="B381" s="12"/>
    </row>
    <row r="382" spans="2:2">
      <c r="B382" s="12"/>
    </row>
    <row r="383" spans="2:2">
      <c r="B383" s="12"/>
    </row>
    <row r="384" spans="2:2">
      <c r="B384" s="12"/>
    </row>
    <row r="385" spans="2:2">
      <c r="B385" s="12"/>
    </row>
    <row r="386" spans="2:2">
      <c r="B386" s="12"/>
    </row>
    <row r="387" spans="2:2">
      <c r="B387" s="12"/>
    </row>
    <row r="388" spans="2:2">
      <c r="B388" s="12"/>
    </row>
    <row r="389" spans="2:2">
      <c r="B389" s="12"/>
    </row>
    <row r="390" spans="2:2">
      <c r="B390" s="12"/>
    </row>
    <row r="391" spans="2:2">
      <c r="B391" s="12"/>
    </row>
    <row r="392" spans="2:2">
      <c r="B392" s="12"/>
    </row>
    <row r="393" spans="2:2">
      <c r="B393" s="12"/>
    </row>
    <row r="394" spans="2:2">
      <c r="B394" s="12"/>
    </row>
    <row r="395" spans="2:2">
      <c r="B395" s="12"/>
    </row>
    <row r="396" spans="2:2">
      <c r="B396" s="12"/>
    </row>
    <row r="397" spans="2:2">
      <c r="B397" s="12"/>
    </row>
    <row r="398" spans="2:2">
      <c r="B398" s="12"/>
    </row>
    <row r="399" spans="2:2">
      <c r="B399" s="12"/>
    </row>
    <row r="400" spans="2:2">
      <c r="B400" s="12"/>
    </row>
    <row r="401" spans="2:2">
      <c r="B401" s="12"/>
    </row>
    <row r="402" spans="2:2">
      <c r="B402" s="12"/>
    </row>
    <row r="403" spans="2:2">
      <c r="B403" s="12"/>
    </row>
    <row r="404" spans="2:2">
      <c r="B404" s="12"/>
    </row>
    <row r="405" spans="2:2">
      <c r="B405" s="12"/>
    </row>
    <row r="406" spans="2:2">
      <c r="B406" s="12"/>
    </row>
    <row r="407" spans="2:2">
      <c r="B407" s="12"/>
    </row>
    <row r="408" spans="2:2">
      <c r="B408" s="12"/>
    </row>
    <row r="409" spans="2:2">
      <c r="B409" s="12"/>
    </row>
    <row r="410" spans="2:2">
      <c r="B410" s="12"/>
    </row>
    <row r="411" spans="2:2">
      <c r="B411" s="12"/>
    </row>
    <row r="412" spans="2:2">
      <c r="B412" s="12"/>
    </row>
    <row r="413" spans="2:2">
      <c r="B413" s="12"/>
    </row>
    <row r="414" spans="2:2">
      <c r="B414" s="12"/>
    </row>
    <row r="415" spans="2:2">
      <c r="B415" s="12"/>
    </row>
    <row r="416" spans="2:2">
      <c r="B416" s="12"/>
    </row>
    <row r="417" spans="2:2">
      <c r="B417" s="12"/>
    </row>
    <row r="418" spans="2:2">
      <c r="B418" s="12"/>
    </row>
    <row r="419" spans="2:2">
      <c r="B419" s="12"/>
    </row>
    <row r="420" spans="2:2">
      <c r="B420" s="12"/>
    </row>
    <row r="421" spans="2:2">
      <c r="B421" s="12"/>
    </row>
    <row r="422" spans="2:2">
      <c r="B422" s="12"/>
    </row>
    <row r="423" spans="2:2">
      <c r="B423" s="12"/>
    </row>
    <row r="424" spans="2:2">
      <c r="B424" s="12"/>
    </row>
    <row r="425" spans="2:2">
      <c r="B425" s="12"/>
    </row>
    <row r="426" spans="2:2">
      <c r="B426" s="12"/>
    </row>
    <row r="427" spans="2:2">
      <c r="B427" s="12"/>
    </row>
    <row r="428" spans="2:2">
      <c r="B428" s="12"/>
    </row>
    <row r="429" spans="2:2">
      <c r="B429" s="12"/>
    </row>
    <row r="430" spans="2:2">
      <c r="B430" s="12"/>
    </row>
    <row r="431" spans="2:2">
      <c r="B431" s="12"/>
    </row>
    <row r="432" spans="2:2">
      <c r="B432" s="12"/>
    </row>
    <row r="433" spans="2:2">
      <c r="B433" s="12"/>
    </row>
    <row r="434" spans="2:2">
      <c r="B434" s="12"/>
    </row>
    <row r="435" spans="2:2">
      <c r="B435" s="12"/>
    </row>
    <row r="436" spans="2:2">
      <c r="B436" s="12"/>
    </row>
    <row r="437" spans="2:2">
      <c r="B437" s="12"/>
    </row>
    <row r="438" spans="2:2">
      <c r="B438" s="12"/>
    </row>
    <row r="439" spans="2:2">
      <c r="B439" s="12"/>
    </row>
    <row r="440" spans="2:2">
      <c r="B440" s="12"/>
    </row>
    <row r="441" spans="2:2">
      <c r="B441" s="12"/>
    </row>
    <row r="442" spans="2:2">
      <c r="B442" s="12"/>
    </row>
    <row r="443" spans="2:2">
      <c r="B443" s="12"/>
    </row>
    <row r="444" spans="2:2">
      <c r="B444" s="12"/>
    </row>
    <row r="445" spans="2:2">
      <c r="B445" s="12"/>
    </row>
    <row r="446" spans="2:2">
      <c r="B446" s="12"/>
    </row>
    <row r="447" spans="2:2">
      <c r="B447" s="12"/>
    </row>
    <row r="448" spans="2:2">
      <c r="B448" s="12"/>
    </row>
    <row r="449" spans="2:2">
      <c r="B449" s="12"/>
    </row>
    <row r="450" spans="2:2">
      <c r="B450" s="12"/>
    </row>
    <row r="451" spans="2:2">
      <c r="B451" s="12"/>
    </row>
    <row r="452" spans="2:2">
      <c r="B452" s="12"/>
    </row>
    <row r="453" spans="2:2">
      <c r="B453" s="12"/>
    </row>
    <row r="454" spans="2:2">
      <c r="B454" s="12"/>
    </row>
    <row r="455" spans="2:2">
      <c r="B455" s="12"/>
    </row>
    <row r="456" spans="2:2">
      <c r="B456" s="12"/>
    </row>
    <row r="457" spans="2:2">
      <c r="B457" s="12"/>
    </row>
    <row r="458" spans="2:2">
      <c r="B458" s="12"/>
    </row>
    <row r="459" spans="2:2">
      <c r="B459" s="12"/>
    </row>
    <row r="460" spans="2:2">
      <c r="B460" s="12"/>
    </row>
    <row r="461" spans="2:2">
      <c r="B461" s="12"/>
    </row>
    <row r="462" spans="2:2">
      <c r="B462" s="12"/>
    </row>
    <row r="463" spans="2:2">
      <c r="B463" s="12"/>
    </row>
    <row r="464" spans="2:2">
      <c r="B464" s="12"/>
    </row>
    <row r="465" spans="2:2">
      <c r="B465" s="12"/>
    </row>
    <row r="466" spans="2:2">
      <c r="B466" s="12"/>
    </row>
    <row r="467" spans="2:2">
      <c r="B467" s="12"/>
    </row>
    <row r="468" spans="2:2">
      <c r="B468" s="12"/>
    </row>
    <row r="469" spans="2:2">
      <c r="B469" s="12"/>
    </row>
    <row r="470" spans="2:2">
      <c r="B470" s="12"/>
    </row>
    <row r="471" spans="2:2">
      <c r="B471" s="12"/>
    </row>
    <row r="472" spans="2:2">
      <c r="B472" s="12"/>
    </row>
    <row r="473" spans="2:2">
      <c r="B473" s="12"/>
    </row>
    <row r="474" spans="2:2">
      <c r="B474" s="12"/>
    </row>
    <row r="475" spans="2:2">
      <c r="B475" s="12"/>
    </row>
    <row r="476" spans="2:2">
      <c r="B476" s="12"/>
    </row>
    <row r="477" spans="2:2">
      <c r="B477" s="12"/>
    </row>
    <row r="478" spans="2:2">
      <c r="B478" s="12"/>
    </row>
    <row r="479" spans="2:2">
      <c r="B479" s="12"/>
    </row>
    <row r="480" spans="2:2">
      <c r="B480" s="12"/>
    </row>
    <row r="481" spans="2:2">
      <c r="B481" s="12"/>
    </row>
    <row r="482" spans="2:2">
      <c r="B482" s="12"/>
    </row>
    <row r="483" spans="2:2">
      <c r="B483" s="12"/>
    </row>
    <row r="484" spans="2:2">
      <c r="B484" s="12"/>
    </row>
    <row r="485" spans="2:2">
      <c r="B485" s="12"/>
    </row>
    <row r="486" spans="2:2">
      <c r="B486" s="12"/>
    </row>
    <row r="487" spans="2:2">
      <c r="B487" s="12"/>
    </row>
    <row r="488" spans="2:2">
      <c r="B488" s="12"/>
    </row>
    <row r="489" spans="2:2">
      <c r="B489" s="12"/>
    </row>
    <row r="490" spans="2:2">
      <c r="B490" s="12"/>
    </row>
    <row r="491" spans="2:2">
      <c r="B491" s="12"/>
    </row>
    <row r="492" spans="2:2">
      <c r="B492" s="12"/>
    </row>
    <row r="493" spans="2:2">
      <c r="B493" s="12"/>
    </row>
    <row r="494" spans="2:2">
      <c r="B494" s="12"/>
    </row>
    <row r="495" spans="2:2">
      <c r="B495" s="12"/>
    </row>
    <row r="496" spans="2:2">
      <c r="B496" s="12"/>
    </row>
    <row r="497" spans="2:2">
      <c r="B497" s="12"/>
    </row>
    <row r="498" spans="2:2">
      <c r="B498" s="12"/>
    </row>
    <row r="499" spans="2:2">
      <c r="B499" s="12"/>
    </row>
    <row r="500" spans="2:2">
      <c r="B500" s="12"/>
    </row>
    <row r="501" spans="2:2">
      <c r="B501" s="12"/>
    </row>
  </sheetData>
  <sheetProtection selectLockedCells="1" selectUnlockedCells="1"/>
  <mergeCells count="2">
    <mergeCell ref="B6:D6"/>
    <mergeCell ref="C8:E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Engagement">
              <controlPr defaultSize="0" autoFill="0" autoPict="0" macro="[0]!Engagement">
                <anchor>
                  <from>
                    <xdr:col>5</xdr:col>
                    <xdr:colOff>0</xdr:colOff>
                    <xdr:row>1</xdr:row>
                    <xdr:rowOff>38100</xdr:rowOff>
                  </from>
                  <to>
                    <xdr:col>5</xdr:col>
                    <xdr:colOff>1104900</xdr:colOff>
                    <xdr:row>1</xdr:row>
                    <xdr:rowOff>463550</xdr:rowOff>
                  </to>
                </anchor>
              </controlPr>
            </control>
          </mc:Choice>
        </mc:AlternateContent>
        <mc:AlternateContent xmlns:mc="http://schemas.openxmlformats.org/markup-compatibility/2006">
          <mc:Choice Requires="x14">
            <control shapeId="2050" r:id="rId5" name="Advocacy">
              <controlPr defaultSize="0" autoFill="0" autoPict="0" macro="[0]!Advocacy">
                <anchor>
                  <from>
                    <xdr:col>4</xdr:col>
                    <xdr:colOff>31750</xdr:colOff>
                    <xdr:row>1</xdr:row>
                    <xdr:rowOff>539750</xdr:rowOff>
                  </from>
                  <to>
                    <xdr:col>4</xdr:col>
                    <xdr:colOff>1136650</xdr:colOff>
                    <xdr:row>1</xdr:row>
                    <xdr:rowOff>984250</xdr:rowOff>
                  </to>
                </anchor>
              </controlPr>
            </control>
          </mc:Choice>
        </mc:AlternateContent>
        <mc:AlternateContent xmlns:mc="http://schemas.openxmlformats.org/markup-compatibility/2006">
          <mc:Choice Requires="x14">
            <control shapeId="2051" r:id="rId6" name="Notes">
              <controlPr defaultSize="0" autoFill="0" autoPict="0" macro="[0]!Notes">
                <anchor>
                  <from>
                    <xdr:col>1</xdr:col>
                    <xdr:colOff>146050</xdr:colOff>
                    <xdr:row>1</xdr:row>
                    <xdr:rowOff>38100</xdr:rowOff>
                  </from>
                  <to>
                    <xdr:col>1</xdr:col>
                    <xdr:colOff>1250950</xdr:colOff>
                    <xdr:row>1</xdr:row>
                    <xdr:rowOff>463550</xdr:rowOff>
                  </to>
                </anchor>
              </controlPr>
            </control>
          </mc:Choice>
        </mc:AlternateContent>
        <mc:AlternateContent xmlns:mc="http://schemas.openxmlformats.org/markup-compatibility/2006">
          <mc:Choice Requires="x14">
            <control shapeId="2052" r:id="rId7" name="Summary">
              <controlPr defaultSize="0" print="0" autoFill="0" autoPict="0" macro="[0]!Summary">
                <anchor moveWithCells="1" sizeWithCells="1">
                  <from>
                    <xdr:col>1</xdr:col>
                    <xdr:colOff>146050</xdr:colOff>
                    <xdr:row>1</xdr:row>
                    <xdr:rowOff>539750</xdr:rowOff>
                  </from>
                  <to>
                    <xdr:col>1</xdr:col>
                    <xdr:colOff>1250950</xdr:colOff>
                    <xdr:row>1</xdr:row>
                    <xdr:rowOff>984250</xdr:rowOff>
                  </to>
                </anchor>
              </controlPr>
            </control>
          </mc:Choice>
        </mc:AlternateContent>
        <mc:AlternateContent xmlns:mc="http://schemas.openxmlformats.org/markup-compatibility/2006">
          <mc:Choice Requires="x14">
            <control shapeId="2053" r:id="rId8" name="Involvement">
              <controlPr defaultSize="0" autoFill="0" autoPict="0" macro="[0]!Involvement">
                <anchor>
                  <from>
                    <xdr:col>5</xdr:col>
                    <xdr:colOff>0</xdr:colOff>
                    <xdr:row>1</xdr:row>
                    <xdr:rowOff>539750</xdr:rowOff>
                  </from>
                  <to>
                    <xdr:col>5</xdr:col>
                    <xdr:colOff>1111250</xdr:colOff>
                    <xdr:row>1</xdr:row>
                    <xdr:rowOff>984250</xdr:rowOff>
                  </to>
                </anchor>
              </controlPr>
            </control>
          </mc:Choice>
        </mc:AlternateContent>
        <mc:AlternateContent xmlns:mc="http://schemas.openxmlformats.org/markup-compatibility/2006">
          <mc:Choice Requires="x14">
            <control shapeId="2054" r:id="rId9" name="Motivation">
              <controlPr defaultSize="0" autoFill="0" autoPict="0" macro="[0]!Motivation">
                <anchor>
                  <from>
                    <xdr:col>5</xdr:col>
                    <xdr:colOff>1225550</xdr:colOff>
                    <xdr:row>1</xdr:row>
                    <xdr:rowOff>539750</xdr:rowOff>
                  </from>
                  <to>
                    <xdr:col>6</xdr:col>
                    <xdr:colOff>1098550</xdr:colOff>
                    <xdr:row>1</xdr:row>
                    <xdr:rowOff>984250</xdr:rowOff>
                  </to>
                </anchor>
              </controlPr>
            </control>
          </mc:Choice>
        </mc:AlternateContent>
        <mc:AlternateContent xmlns:mc="http://schemas.openxmlformats.org/markup-compatibility/2006">
          <mc:Choice Requires="x14">
            <control shapeId="2055" r:id="rId10" name="Breakdown">
              <controlPr defaultSize="0" autoFill="0" autoPict="0" macro="[0]!Breakdown">
                <anchor>
                  <from>
                    <xdr:col>4</xdr:col>
                    <xdr:colOff>31750</xdr:colOff>
                    <xdr:row>1</xdr:row>
                    <xdr:rowOff>38100</xdr:rowOff>
                  </from>
                  <to>
                    <xdr:col>4</xdr:col>
                    <xdr:colOff>1136650</xdr:colOff>
                    <xdr:row>1</xdr:row>
                    <xdr:rowOff>463550</xdr:rowOff>
                  </to>
                </anchor>
              </controlPr>
            </control>
          </mc:Choice>
        </mc:AlternateContent>
        <mc:AlternateContent xmlns:mc="http://schemas.openxmlformats.org/markup-compatibility/2006">
          <mc:Choice Requires="x14">
            <control shapeId="2056" r:id="rId11" name="Scores">
              <controlPr defaultSize="0" autoFill="0" autoPict="0" macro="[1]!MacrosForWebfileForMalwina.Scores">
                <anchor>
                  <from>
                    <xdr:col>5</xdr:col>
                    <xdr:colOff>1225550</xdr:colOff>
                    <xdr:row>1</xdr:row>
                    <xdr:rowOff>38100</xdr:rowOff>
                  </from>
                  <to>
                    <xdr:col>6</xdr:col>
                    <xdr:colOff>1098550</xdr:colOff>
                    <xdr:row>1</xdr:row>
                    <xdr:rowOff>463550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5F500-7C35-40CF-B2C0-4B0698C76338}">
  <sheetPr codeName="Sheet31">
    <tabColor theme="3" tint="0.59999389629810485"/>
  </sheetPr>
  <dimension ref="A1:M196"/>
  <sheetViews>
    <sheetView workbookViewId="0">
      <selection activeCell="D21" sqref="D21"/>
    </sheetView>
  </sheetViews>
  <sheetFormatPr defaultColWidth="9.140625" defaultRowHeight="14.45"/>
  <cols>
    <col min="1" max="1" width="9.5703125" style="12" customWidth="1"/>
    <col min="2" max="2" width="54.42578125" style="12" customWidth="1"/>
    <col min="3" max="3" width="9.5703125" style="12" customWidth="1"/>
    <col min="4" max="4" width="64" style="12" customWidth="1"/>
    <col min="5" max="5" width="9.5703125" style="12" customWidth="1"/>
    <col min="6" max="6" width="88.42578125" style="12" customWidth="1"/>
    <col min="7" max="7" width="85.5703125" style="12" bestFit="1" customWidth="1"/>
    <col min="8" max="8" width="13" style="12" customWidth="1"/>
    <col min="9" max="9" width="12.5703125" style="12" customWidth="1"/>
    <col min="10" max="10" width="18.5703125" style="12" customWidth="1"/>
    <col min="11" max="12" width="14.5703125" style="12" customWidth="1"/>
    <col min="13" max="13" width="12.42578125" style="12" bestFit="1" customWidth="1"/>
    <col min="14" max="16384" width="9.140625" style="45"/>
  </cols>
  <sheetData>
    <row r="1" spans="1:13" ht="15" customHeight="1">
      <c r="A1" s="44"/>
      <c r="B1" s="44"/>
      <c r="C1" s="44"/>
      <c r="D1" s="44"/>
      <c r="E1" s="44"/>
      <c r="F1" s="44"/>
      <c r="G1" s="44"/>
      <c r="H1" s="44"/>
      <c r="I1" s="44"/>
      <c r="J1" s="44"/>
      <c r="K1" s="44"/>
      <c r="L1" s="44"/>
      <c r="M1" s="44"/>
    </row>
    <row r="2" spans="1:13" ht="30" customHeight="1">
      <c r="A2" s="44"/>
      <c r="B2" s="44"/>
      <c r="C2" s="44"/>
      <c r="D2" s="44"/>
      <c r="E2" s="44"/>
      <c r="F2" s="44"/>
      <c r="G2" s="44"/>
      <c r="H2" s="44"/>
      <c r="I2" s="44"/>
      <c r="J2" s="44"/>
      <c r="K2" s="44"/>
      <c r="L2" s="44"/>
      <c r="M2" s="44"/>
    </row>
    <row r="3" spans="1:13" ht="15.75" customHeight="1">
      <c r="A3" s="44"/>
      <c r="B3" s="44"/>
      <c r="C3" s="44"/>
      <c r="D3" s="44"/>
      <c r="E3" s="44"/>
      <c r="F3" s="44"/>
      <c r="G3" s="44"/>
      <c r="H3" s="44"/>
      <c r="I3" s="44"/>
      <c r="J3" s="44"/>
      <c r="K3" s="44"/>
      <c r="L3" s="44"/>
      <c r="M3" s="44"/>
    </row>
    <row r="4" spans="1:13">
      <c r="A4" s="44"/>
      <c r="B4" s="44"/>
      <c r="C4" s="44"/>
      <c r="D4" s="44"/>
      <c r="E4" s="44"/>
      <c r="F4" s="44"/>
      <c r="G4" s="44"/>
      <c r="H4" s="44"/>
      <c r="I4" s="44"/>
      <c r="J4" s="44"/>
      <c r="K4" s="44"/>
      <c r="L4" s="44"/>
      <c r="M4" s="44"/>
    </row>
    <row r="5" spans="1:13" ht="97.5" customHeight="1">
      <c r="A5" s="44"/>
      <c r="B5" s="44"/>
      <c r="C5" s="44"/>
      <c r="D5" s="44"/>
      <c r="E5" s="44"/>
      <c r="F5" s="44"/>
      <c r="G5" s="44"/>
      <c r="H5" s="44"/>
      <c r="I5" s="44"/>
      <c r="J5" s="44"/>
      <c r="K5" s="44"/>
      <c r="L5" s="44"/>
      <c r="M5" s="44"/>
    </row>
    <row r="6" spans="1:13" ht="9.75" customHeight="1">
      <c r="A6" s="44"/>
      <c r="B6" s="44"/>
      <c r="C6" s="44"/>
      <c r="D6" s="44"/>
      <c r="E6" s="44"/>
      <c r="F6" s="46"/>
      <c r="G6" s="46"/>
      <c r="H6" s="47"/>
      <c r="I6" s="44"/>
      <c r="J6" s="48"/>
      <c r="K6" s="44"/>
      <c r="L6" s="44"/>
      <c r="M6" s="44"/>
    </row>
    <row r="7" spans="1:13" s="49" customFormat="1" ht="15.75" customHeight="1">
      <c r="A7" s="101" t="s">
        <v>32</v>
      </c>
      <c r="B7" s="101" t="s">
        <v>33</v>
      </c>
      <c r="C7" s="101" t="s">
        <v>34</v>
      </c>
      <c r="D7" s="95" t="s">
        <v>35</v>
      </c>
      <c r="E7" s="101" t="s">
        <v>36</v>
      </c>
      <c r="F7" s="95" t="s">
        <v>37</v>
      </c>
      <c r="G7" s="95" t="s">
        <v>38</v>
      </c>
      <c r="H7" s="97" t="s">
        <v>39</v>
      </c>
      <c r="I7" s="99" t="s">
        <v>40</v>
      </c>
      <c r="J7" s="93" t="s">
        <v>41</v>
      </c>
      <c r="K7" s="93" t="s">
        <v>20</v>
      </c>
      <c r="L7" s="93" t="s">
        <v>26</v>
      </c>
      <c r="M7" s="93" t="s">
        <v>14</v>
      </c>
    </row>
    <row r="8" spans="1:13" s="49" customFormat="1" ht="33" customHeight="1">
      <c r="A8" s="101"/>
      <c r="B8" s="101"/>
      <c r="C8" s="95"/>
      <c r="D8" s="96"/>
      <c r="E8" s="95"/>
      <c r="F8" s="96"/>
      <c r="G8" s="96"/>
      <c r="H8" s="98"/>
      <c r="I8" s="100"/>
      <c r="J8" s="94"/>
      <c r="K8" s="94"/>
      <c r="L8" s="94"/>
      <c r="M8" s="94"/>
    </row>
    <row r="9" spans="1:13" s="54" customFormat="1" ht="13.5">
      <c r="A9" s="50"/>
      <c r="B9" s="51"/>
      <c r="C9" s="51"/>
      <c r="D9" s="51"/>
      <c r="E9" s="51"/>
      <c r="F9" s="51"/>
      <c r="G9" s="52" t="s">
        <v>42</v>
      </c>
      <c r="H9" s="53">
        <v>127021</v>
      </c>
      <c r="I9" s="53">
        <v>1180653</v>
      </c>
      <c r="J9" s="64">
        <v>6.6151309238954923</v>
      </c>
      <c r="K9" s="64">
        <v>6.6465998251757403</v>
      </c>
      <c r="L9" s="64">
        <v>6.4622195585013174</v>
      </c>
      <c r="M9" s="64">
        <v>6.7365733880094201</v>
      </c>
    </row>
    <row r="10" spans="1:13">
      <c r="A10" s="55" t="s">
        <v>43</v>
      </c>
      <c r="B10" s="55" t="s">
        <v>44</v>
      </c>
      <c r="C10" s="55" t="s">
        <v>45</v>
      </c>
      <c r="D10" s="55" t="str">
        <f>VLOOKUP(C10,'[2]From July 2022'!$D:$E,2,0)</f>
        <v>NHS SOUTH EAST LONDON INTEGRATED CARE BOARD</v>
      </c>
      <c r="E10" s="55" t="s">
        <v>46</v>
      </c>
      <c r="F10" s="55" t="s">
        <v>47</v>
      </c>
      <c r="G10" s="55" t="s">
        <v>48</v>
      </c>
      <c r="H10" s="55">
        <v>2705</v>
      </c>
      <c r="I10" s="55">
        <v>22169</v>
      </c>
      <c r="J10" s="64">
        <v>6.9244828256609052</v>
      </c>
      <c r="K10" s="64">
        <v>7.4957374254049443</v>
      </c>
      <c r="L10" s="64">
        <v>6.4714880078316197</v>
      </c>
      <c r="M10" s="85">
        <v>6.8062230437461491</v>
      </c>
    </row>
    <row r="11" spans="1:13">
      <c r="A11" s="56" t="s">
        <v>43</v>
      </c>
      <c r="B11" s="56" t="s">
        <v>44</v>
      </c>
      <c r="C11" s="56" t="s">
        <v>45</v>
      </c>
      <c r="D11" s="56" t="str">
        <f>VLOOKUP(C11,'[2]From July 2022'!$D:$E,2,0)</f>
        <v>NHS SOUTH EAST LONDON INTEGRATED CARE BOARD</v>
      </c>
      <c r="E11" s="56" t="s">
        <v>49</v>
      </c>
      <c r="F11" s="56" t="s">
        <v>50</v>
      </c>
      <c r="G11" s="56" t="s">
        <v>48</v>
      </c>
      <c r="H11" s="56">
        <v>1285</v>
      </c>
      <c r="I11" s="56">
        <v>13297</v>
      </c>
      <c r="J11" s="65">
        <v>6.4831387808041505</v>
      </c>
      <c r="K11" s="65">
        <v>6.7107652399481195</v>
      </c>
      <c r="L11" s="65">
        <v>6.2918287937743189</v>
      </c>
      <c r="M11" s="86">
        <v>6.4468223086900123</v>
      </c>
    </row>
    <row r="12" spans="1:13">
      <c r="A12" s="56" t="s">
        <v>43</v>
      </c>
      <c r="B12" s="56" t="s">
        <v>44</v>
      </c>
      <c r="C12" s="56" t="s">
        <v>45</v>
      </c>
      <c r="D12" s="56" t="str">
        <f>VLOOKUP(C12,'[2]From July 2022'!$D:$E,2,0)</f>
        <v>NHS SOUTH EAST LONDON INTEGRATED CARE BOARD</v>
      </c>
      <c r="E12" s="56" t="s">
        <v>51</v>
      </c>
      <c r="F12" s="56" t="s">
        <v>52</v>
      </c>
      <c r="G12" s="56" t="s">
        <v>48</v>
      </c>
      <c r="H12" s="56">
        <v>433</v>
      </c>
      <c r="I12" s="56">
        <v>6850</v>
      </c>
      <c r="J12" s="65">
        <v>6.023222992045163</v>
      </c>
      <c r="K12" s="65">
        <v>5.8294842186297151</v>
      </c>
      <c r="L12" s="65">
        <v>5.9699769053117784</v>
      </c>
      <c r="M12" s="86">
        <v>6.2702078521939955</v>
      </c>
    </row>
    <row r="13" spans="1:13">
      <c r="A13" s="56" t="s">
        <v>43</v>
      </c>
      <c r="B13" s="56" t="s">
        <v>44</v>
      </c>
      <c r="C13" s="56" t="s">
        <v>45</v>
      </c>
      <c r="D13" s="56" t="str">
        <f>VLOOKUP(C13,'[2]From July 2022'!$D:$E,2,0)</f>
        <v>NHS SOUTH EAST LONDON INTEGRATED CARE BOARD</v>
      </c>
      <c r="E13" s="56" t="s">
        <v>53</v>
      </c>
      <c r="F13" s="56" t="s">
        <v>54</v>
      </c>
      <c r="G13" s="56" t="s">
        <v>55</v>
      </c>
      <c r="H13" s="56">
        <v>195</v>
      </c>
      <c r="I13" s="56">
        <v>5486</v>
      </c>
      <c r="J13" s="65">
        <v>6.5470085470085477</v>
      </c>
      <c r="K13" s="65">
        <v>6.1623931623931627</v>
      </c>
      <c r="L13" s="65">
        <v>7.0641025641025639</v>
      </c>
      <c r="M13" s="86">
        <v>6.4145299145299139</v>
      </c>
    </row>
    <row r="14" spans="1:13">
      <c r="A14" s="56" t="s">
        <v>43</v>
      </c>
      <c r="B14" s="56" t="s">
        <v>44</v>
      </c>
      <c r="C14" s="56" t="s">
        <v>56</v>
      </c>
      <c r="D14" s="56" t="str">
        <f>VLOOKUP(C14,'[2]From July 2022'!$D:$E,2,0)</f>
        <v>NHS NORTH EAST LONDON INTEGRATED CARE BOARD</v>
      </c>
      <c r="E14" s="56" t="s">
        <v>57</v>
      </c>
      <c r="F14" s="56" t="s">
        <v>58</v>
      </c>
      <c r="G14" s="56" t="s">
        <v>48</v>
      </c>
      <c r="H14" s="56">
        <v>435</v>
      </c>
      <c r="I14" s="56">
        <v>17203</v>
      </c>
      <c r="J14" s="65">
        <v>6.0114942528735638</v>
      </c>
      <c r="K14" s="65">
        <v>5.9176245210727965</v>
      </c>
      <c r="L14" s="65">
        <v>5.8869731800766285</v>
      </c>
      <c r="M14" s="86">
        <v>6.2298850574712645</v>
      </c>
    </row>
    <row r="15" spans="1:13">
      <c r="A15" s="56" t="s">
        <v>43</v>
      </c>
      <c r="B15" s="56" t="s">
        <v>44</v>
      </c>
      <c r="C15" s="56" t="s">
        <v>56</v>
      </c>
      <c r="D15" s="56" t="str">
        <f>VLOOKUP(C15,'[2]From July 2022'!$D:$E,2,0)</f>
        <v>NHS NORTH EAST LONDON INTEGRATED CARE BOARD</v>
      </c>
      <c r="E15" s="56" t="s">
        <v>59</v>
      </c>
      <c r="F15" s="56" t="s">
        <v>60</v>
      </c>
      <c r="G15" s="56" t="s">
        <v>55</v>
      </c>
      <c r="H15" s="56">
        <v>906</v>
      </c>
      <c r="I15" s="56">
        <v>6545</v>
      </c>
      <c r="J15" s="65">
        <v>7.1391381490719228</v>
      </c>
      <c r="K15" s="65">
        <v>7.2976453274466522</v>
      </c>
      <c r="L15" s="65">
        <v>6.9678932178932174</v>
      </c>
      <c r="M15" s="86">
        <v>7.1518759018759015</v>
      </c>
    </row>
    <row r="16" spans="1:13">
      <c r="A16" s="56" t="s">
        <v>43</v>
      </c>
      <c r="B16" s="56" t="s">
        <v>44</v>
      </c>
      <c r="C16" s="56" t="s">
        <v>56</v>
      </c>
      <c r="D16" s="56" t="str">
        <f>VLOOKUP(C16,'[2]From July 2022'!$D:$E,2,0)</f>
        <v>NHS NORTH EAST LONDON INTEGRATED CARE BOARD</v>
      </c>
      <c r="E16" s="56" t="s">
        <v>61</v>
      </c>
      <c r="F16" s="56" t="s">
        <v>62</v>
      </c>
      <c r="G16" s="56" t="s">
        <v>48</v>
      </c>
      <c r="H16" s="56">
        <v>693</v>
      </c>
      <c r="I16" s="56">
        <v>3922</v>
      </c>
      <c r="J16" s="65">
        <v>6.8500714643426237</v>
      </c>
      <c r="K16" s="65">
        <v>7.1683191690273835</v>
      </c>
      <c r="L16" s="65">
        <v>6.6346609767662406</v>
      </c>
      <c r="M16" s="86">
        <v>6.747234247234247</v>
      </c>
    </row>
    <row r="17" spans="1:13">
      <c r="A17" s="56" t="s">
        <v>43</v>
      </c>
      <c r="B17" s="56" t="s">
        <v>44</v>
      </c>
      <c r="C17" s="56" t="s">
        <v>56</v>
      </c>
      <c r="D17" s="56" t="str">
        <f>VLOOKUP(C17,'[2]From July 2022'!$D:$E,2,0)</f>
        <v>NHS NORTH EAST LONDON INTEGRATED CARE BOARD</v>
      </c>
      <c r="E17" s="56" t="s">
        <v>63</v>
      </c>
      <c r="F17" s="56" t="s">
        <v>64</v>
      </c>
      <c r="G17" s="56" t="s">
        <v>55</v>
      </c>
      <c r="H17" s="56">
        <v>616</v>
      </c>
      <c r="I17" s="56">
        <v>6702</v>
      </c>
      <c r="J17" s="65">
        <v>6.6761363636363633</v>
      </c>
      <c r="K17" s="65">
        <v>6.6423160173160172</v>
      </c>
      <c r="L17" s="65">
        <v>6.5963203463203461</v>
      </c>
      <c r="M17" s="86">
        <v>6.7897727272727275</v>
      </c>
    </row>
    <row r="18" spans="1:13">
      <c r="A18" s="56" t="s">
        <v>43</v>
      </c>
      <c r="B18" s="56" t="s">
        <v>44</v>
      </c>
      <c r="C18" s="56" t="s">
        <v>65</v>
      </c>
      <c r="D18" s="56" t="str">
        <f>VLOOKUP(C18,'[2]From July 2022'!$D:$E,2,0)</f>
        <v>NHS NORTH CENTRAL LONDON INTEGRATED CARE BOARD</v>
      </c>
      <c r="E18" s="56" t="s">
        <v>66</v>
      </c>
      <c r="F18" s="56" t="s">
        <v>67</v>
      </c>
      <c r="G18" s="56" t="s">
        <v>55</v>
      </c>
      <c r="H18" s="56">
        <v>154</v>
      </c>
      <c r="I18" s="56">
        <v>3407</v>
      </c>
      <c r="J18" s="65">
        <v>6.0822510822510827</v>
      </c>
      <c r="K18" s="65">
        <v>5.4437229437229444</v>
      </c>
      <c r="L18" s="65">
        <v>6.3095238095238093</v>
      </c>
      <c r="M18" s="86">
        <v>6.4935064935064934</v>
      </c>
    </row>
    <row r="19" spans="1:13">
      <c r="A19" s="56" t="s">
        <v>43</v>
      </c>
      <c r="B19" s="56" t="s">
        <v>44</v>
      </c>
      <c r="C19" s="56" t="s">
        <v>65</v>
      </c>
      <c r="D19" s="56" t="str">
        <f>VLOOKUP(C19,'[2]From July 2022'!$D:$E,2,0)</f>
        <v>NHS NORTH CENTRAL LONDON INTEGRATED CARE BOARD</v>
      </c>
      <c r="E19" s="56" t="s">
        <v>68</v>
      </c>
      <c r="F19" s="56" t="s">
        <v>69</v>
      </c>
      <c r="G19" s="56" t="s">
        <v>55</v>
      </c>
      <c r="H19" s="56">
        <v>444</v>
      </c>
      <c r="I19" s="56">
        <v>2293</v>
      </c>
      <c r="J19" s="65">
        <v>6.884820129676517</v>
      </c>
      <c r="K19" s="65">
        <v>6.7849099099099099</v>
      </c>
      <c r="L19" s="65">
        <v>6.8395879323031643</v>
      </c>
      <c r="M19" s="86">
        <v>7.0299625468164795</v>
      </c>
    </row>
    <row r="20" spans="1:13">
      <c r="A20" s="56" t="s">
        <v>43</v>
      </c>
      <c r="B20" s="56" t="s">
        <v>44</v>
      </c>
      <c r="C20" s="56" t="s">
        <v>65</v>
      </c>
      <c r="D20" s="56" t="str">
        <f>VLOOKUP(C20,'[2]From July 2022'!$D:$E,2,0)</f>
        <v>NHS NORTH CENTRAL LONDON INTEGRATED CARE BOARD</v>
      </c>
      <c r="E20" s="56" t="s">
        <v>70</v>
      </c>
      <c r="F20" s="56" t="s">
        <v>71</v>
      </c>
      <c r="G20" s="56" t="s">
        <v>72</v>
      </c>
      <c r="H20" s="56">
        <v>954</v>
      </c>
      <c r="I20" s="56">
        <v>5520</v>
      </c>
      <c r="J20" s="65">
        <v>7.0033967203778529</v>
      </c>
      <c r="K20" s="65">
        <v>7.4566874566874564</v>
      </c>
      <c r="L20" s="65">
        <v>6.661469161469161</v>
      </c>
      <c r="M20" s="86">
        <v>6.8920335429769395</v>
      </c>
    </row>
    <row r="21" spans="1:13">
      <c r="A21" s="56" t="s">
        <v>43</v>
      </c>
      <c r="B21" s="56" t="s">
        <v>44</v>
      </c>
      <c r="C21" s="56" t="s">
        <v>65</v>
      </c>
      <c r="D21" s="56" t="str">
        <f>VLOOKUP(C21,'[2]From July 2022'!$D:$E,2,0)</f>
        <v>NHS NORTH CENTRAL LONDON INTEGRATED CARE BOARD</v>
      </c>
      <c r="E21" s="56" t="s">
        <v>73</v>
      </c>
      <c r="F21" s="56" t="s">
        <v>74</v>
      </c>
      <c r="G21" s="56" t="s">
        <v>72</v>
      </c>
      <c r="H21" s="56">
        <v>31</v>
      </c>
      <c r="I21" s="56">
        <v>2283</v>
      </c>
      <c r="J21" s="65">
        <v>5.672043010752688</v>
      </c>
      <c r="K21" s="65">
        <v>5.591397849462366</v>
      </c>
      <c r="L21" s="65">
        <v>5.564516129032258</v>
      </c>
      <c r="M21" s="86">
        <v>5.860215053763441</v>
      </c>
    </row>
    <row r="22" spans="1:13">
      <c r="A22" s="56" t="s">
        <v>43</v>
      </c>
      <c r="B22" s="56" t="s">
        <v>44</v>
      </c>
      <c r="C22" s="56" t="s">
        <v>65</v>
      </c>
      <c r="D22" s="56" t="str">
        <f>VLOOKUP(C22,'[2]From July 2022'!$D:$E,2,0)</f>
        <v>NHS NORTH CENTRAL LONDON INTEGRATED CARE BOARD</v>
      </c>
      <c r="E22" s="56" t="s">
        <v>75</v>
      </c>
      <c r="F22" s="56" t="s">
        <v>76</v>
      </c>
      <c r="G22" s="56" t="s">
        <v>48</v>
      </c>
      <c r="H22" s="56">
        <v>658</v>
      </c>
      <c r="I22" s="56">
        <v>3818</v>
      </c>
      <c r="J22" s="65">
        <v>6.4659392515190399</v>
      </c>
      <c r="K22" s="65">
        <v>6.0331825037707389</v>
      </c>
      <c r="L22" s="65">
        <v>6.38515196811161</v>
      </c>
      <c r="M22" s="86">
        <v>6.9794832826747717</v>
      </c>
    </row>
    <row r="23" spans="1:13">
      <c r="A23" s="56" t="s">
        <v>43</v>
      </c>
      <c r="B23" s="56" t="s">
        <v>44</v>
      </c>
      <c r="C23" s="56" t="s">
        <v>65</v>
      </c>
      <c r="D23" s="56" t="str">
        <f>VLOOKUP(C23,'[2]From July 2022'!$D:$E,2,0)</f>
        <v>NHS NORTH CENTRAL LONDON INTEGRATED CARE BOARD</v>
      </c>
      <c r="E23" s="56" t="s">
        <v>77</v>
      </c>
      <c r="F23" s="56" t="s">
        <v>78</v>
      </c>
      <c r="G23" s="56" t="s">
        <v>48</v>
      </c>
      <c r="H23" s="56">
        <v>672</v>
      </c>
      <c r="I23" s="56">
        <v>10684</v>
      </c>
      <c r="J23" s="65">
        <v>5.9850363756613758</v>
      </c>
      <c r="K23" s="65">
        <v>5.9598214285714288</v>
      </c>
      <c r="L23" s="65">
        <v>5.6845238095238093</v>
      </c>
      <c r="M23" s="86">
        <v>6.3107638888888884</v>
      </c>
    </row>
    <row r="24" spans="1:13">
      <c r="A24" s="56" t="s">
        <v>43</v>
      </c>
      <c r="B24" s="56" t="s">
        <v>44</v>
      </c>
      <c r="C24" s="56" t="s">
        <v>65</v>
      </c>
      <c r="D24" s="56" t="str">
        <f>VLOOKUP(C24,'[2]From July 2022'!$D:$E,2,0)</f>
        <v>NHS NORTH CENTRAL LONDON INTEGRATED CARE BOARD</v>
      </c>
      <c r="E24" s="56" t="s">
        <v>79</v>
      </c>
      <c r="F24" s="56" t="s">
        <v>80</v>
      </c>
      <c r="G24" s="56" t="s">
        <v>55</v>
      </c>
      <c r="H24" s="56">
        <v>95</v>
      </c>
      <c r="I24" s="56">
        <v>767</v>
      </c>
      <c r="J24" s="65">
        <v>5.2953216374269001</v>
      </c>
      <c r="K24" s="65">
        <v>4.8421052631578947</v>
      </c>
      <c r="L24" s="65">
        <v>5.5964912280701746</v>
      </c>
      <c r="M24" s="86">
        <v>5.4473684210526319</v>
      </c>
    </row>
    <row r="25" spans="1:13">
      <c r="A25" s="56" t="s">
        <v>43</v>
      </c>
      <c r="B25" s="56" t="s">
        <v>44</v>
      </c>
      <c r="C25" s="56" t="s">
        <v>65</v>
      </c>
      <c r="D25" s="56" t="str">
        <f>VLOOKUP(C25,'[2]From July 2022'!$D:$E,2,0)</f>
        <v>NHS NORTH CENTRAL LONDON INTEGRATED CARE BOARD</v>
      </c>
      <c r="E25" s="56" t="s">
        <v>81</v>
      </c>
      <c r="F25" s="56" t="s">
        <v>82</v>
      </c>
      <c r="G25" s="56" t="s">
        <v>48</v>
      </c>
      <c r="H25" s="56">
        <v>508</v>
      </c>
      <c r="I25" s="56">
        <v>10115</v>
      </c>
      <c r="J25" s="65">
        <v>7.1576990376202971</v>
      </c>
      <c r="K25" s="65">
        <v>7.6804461942257216</v>
      </c>
      <c r="L25" s="65">
        <v>6.9947506561679793</v>
      </c>
      <c r="M25" s="86">
        <v>6.7979002624671923</v>
      </c>
    </row>
    <row r="26" spans="1:13">
      <c r="A26" s="56" t="s">
        <v>43</v>
      </c>
      <c r="B26" s="56" t="s">
        <v>44</v>
      </c>
      <c r="C26" s="56" t="s">
        <v>65</v>
      </c>
      <c r="D26" s="56" t="str">
        <f>VLOOKUP(C26,'[2]From July 2022'!$D:$E,2,0)</f>
        <v>NHS NORTH CENTRAL LONDON INTEGRATED CARE BOARD</v>
      </c>
      <c r="E26" s="56" t="s">
        <v>83</v>
      </c>
      <c r="F26" s="56" t="s">
        <v>84</v>
      </c>
      <c r="G26" s="56" t="s">
        <v>48</v>
      </c>
      <c r="H26" s="56">
        <v>688</v>
      </c>
      <c r="I26" s="56">
        <v>4464</v>
      </c>
      <c r="J26" s="65">
        <v>6.5273740310077519</v>
      </c>
      <c r="K26" s="65">
        <v>6.4474321705426352</v>
      </c>
      <c r="L26" s="65">
        <v>6.3832364341085279</v>
      </c>
      <c r="M26" s="86">
        <v>6.7514534883720927</v>
      </c>
    </row>
    <row r="27" spans="1:13">
      <c r="A27" s="56" t="s">
        <v>43</v>
      </c>
      <c r="B27" s="56" t="s">
        <v>44</v>
      </c>
      <c r="C27" s="56" t="s">
        <v>85</v>
      </c>
      <c r="D27" s="56" t="str">
        <f>VLOOKUP(C27,'[2]From July 2022'!$D:$E,2,0)</f>
        <v>NHS NORTH WEST LONDON INTEGRATED CARE BOARD</v>
      </c>
      <c r="E27" s="56" t="s">
        <v>86</v>
      </c>
      <c r="F27" s="56" t="s">
        <v>87</v>
      </c>
      <c r="G27" s="56" t="s">
        <v>88</v>
      </c>
      <c r="H27" s="56">
        <v>223</v>
      </c>
      <c r="I27" s="56">
        <v>4376</v>
      </c>
      <c r="J27" s="65">
        <v>6.9170403587443943</v>
      </c>
      <c r="K27" s="65">
        <v>6.6031390134529149</v>
      </c>
      <c r="L27" s="65">
        <v>7.051569506726457</v>
      </c>
      <c r="M27" s="86">
        <v>7.0964125560538118</v>
      </c>
    </row>
    <row r="28" spans="1:13">
      <c r="A28" s="56" t="s">
        <v>43</v>
      </c>
      <c r="B28" s="56" t="s">
        <v>44</v>
      </c>
      <c r="C28" s="56" t="s">
        <v>85</v>
      </c>
      <c r="D28" s="56" t="str">
        <f>VLOOKUP(C28,'[2]From July 2022'!$D:$E,2,0)</f>
        <v>NHS NORTH WEST LONDON INTEGRATED CARE BOARD</v>
      </c>
      <c r="E28" s="56" t="s">
        <v>89</v>
      </c>
      <c r="F28" s="56" t="s">
        <v>90</v>
      </c>
      <c r="G28" s="56" t="s">
        <v>48</v>
      </c>
      <c r="H28" s="56">
        <v>91</v>
      </c>
      <c r="I28" s="56">
        <v>12988</v>
      </c>
      <c r="J28" s="65">
        <v>6.2545787545787546</v>
      </c>
      <c r="K28" s="65">
        <v>6.2912087912087911</v>
      </c>
      <c r="L28" s="65">
        <v>6.0714285714285712</v>
      </c>
      <c r="M28" s="86">
        <v>6.4010989010989015</v>
      </c>
    </row>
    <row r="29" spans="1:13">
      <c r="A29" s="56" t="s">
        <v>43</v>
      </c>
      <c r="B29" s="56" t="s">
        <v>44</v>
      </c>
      <c r="C29" s="56" t="s">
        <v>85</v>
      </c>
      <c r="D29" s="56" t="str">
        <f>VLOOKUP(C29,'[2]From July 2022'!$D:$E,2,0)</f>
        <v>NHS NORTH WEST LONDON INTEGRATED CARE BOARD</v>
      </c>
      <c r="E29" s="56" t="s">
        <v>91</v>
      </c>
      <c r="F29" s="56" t="s">
        <v>92</v>
      </c>
      <c r="G29" s="56" t="s">
        <v>72</v>
      </c>
      <c r="H29" s="56">
        <v>74</v>
      </c>
      <c r="I29" s="56">
        <v>1574</v>
      </c>
      <c r="J29" s="65">
        <v>7.0533033033033048</v>
      </c>
      <c r="K29" s="65">
        <v>7.4774774774774784</v>
      </c>
      <c r="L29" s="65">
        <v>7.0270270270270272</v>
      </c>
      <c r="M29" s="86">
        <v>6.6554054054054053</v>
      </c>
    </row>
    <row r="30" spans="1:13">
      <c r="A30" s="56" t="s">
        <v>43</v>
      </c>
      <c r="B30" s="56" t="s">
        <v>44</v>
      </c>
      <c r="C30" s="56" t="s">
        <v>85</v>
      </c>
      <c r="D30" s="56" t="str">
        <f>VLOOKUP(C30,'[2]From July 2022'!$D:$E,2,0)</f>
        <v>NHS NORTH WEST LONDON INTEGRATED CARE BOARD</v>
      </c>
      <c r="E30" s="56" t="s">
        <v>93</v>
      </c>
      <c r="F30" s="56" t="s">
        <v>94</v>
      </c>
      <c r="G30" s="56" t="s">
        <v>48</v>
      </c>
      <c r="H30" s="56">
        <v>62</v>
      </c>
      <c r="I30" s="56">
        <v>3572</v>
      </c>
      <c r="J30" s="65">
        <v>6.7025089605734776</v>
      </c>
      <c r="K30" s="65">
        <v>5.92741935483871</v>
      </c>
      <c r="L30" s="65">
        <v>7.150537634408602</v>
      </c>
      <c r="M30" s="86">
        <v>7.029569892473118</v>
      </c>
    </row>
    <row r="31" spans="1:13">
      <c r="A31" s="56" t="s">
        <v>43</v>
      </c>
      <c r="B31" s="56" t="s">
        <v>44</v>
      </c>
      <c r="C31" s="56" t="s">
        <v>85</v>
      </c>
      <c r="D31" s="56" t="str">
        <f>VLOOKUP(C31,'[2]From July 2022'!$D:$E,2,0)</f>
        <v>NHS NORTH WEST LONDON INTEGRATED CARE BOARD</v>
      </c>
      <c r="E31" s="56" t="s">
        <v>95</v>
      </c>
      <c r="F31" s="56" t="s">
        <v>96</v>
      </c>
      <c r="G31" s="56" t="s">
        <v>72</v>
      </c>
      <c r="H31" s="56">
        <v>362</v>
      </c>
      <c r="I31" s="56">
        <v>4293</v>
      </c>
      <c r="J31" s="65">
        <v>6.6973603437691835</v>
      </c>
      <c r="K31" s="65">
        <v>7.3158379373848987</v>
      </c>
      <c r="L31" s="65">
        <v>6.4203499079189683</v>
      </c>
      <c r="M31" s="86">
        <v>6.3558931860036836</v>
      </c>
    </row>
    <row r="32" spans="1:13">
      <c r="A32" s="56" t="s">
        <v>43</v>
      </c>
      <c r="B32" s="56" t="s">
        <v>44</v>
      </c>
      <c r="C32" s="56" t="s">
        <v>97</v>
      </c>
      <c r="D32" s="56" t="str">
        <f>VLOOKUP(C32,'[2]From July 2022'!$D:$E,2,0)</f>
        <v>NHS SOUTH WEST LONDON INTEGRATED CARE BOARD</v>
      </c>
      <c r="E32" s="56" t="s">
        <v>98</v>
      </c>
      <c r="F32" s="56" t="s">
        <v>99</v>
      </c>
      <c r="G32" s="56" t="s">
        <v>48</v>
      </c>
      <c r="H32" s="56">
        <v>521</v>
      </c>
      <c r="I32" s="56">
        <v>6858</v>
      </c>
      <c r="J32" s="65">
        <v>6.0119428449562804</v>
      </c>
      <c r="K32" s="65">
        <v>5.8173384516954574</v>
      </c>
      <c r="L32" s="65">
        <v>5.7933461292386443</v>
      </c>
      <c r="M32" s="86">
        <v>6.4251439539347412</v>
      </c>
    </row>
    <row r="33" spans="1:13">
      <c r="A33" s="56" t="s">
        <v>43</v>
      </c>
      <c r="B33" s="56" t="s">
        <v>44</v>
      </c>
      <c r="C33" s="56" t="s">
        <v>97</v>
      </c>
      <c r="D33" s="56" t="str">
        <f>VLOOKUP(C33,'[2]From July 2022'!$D:$E,2,0)</f>
        <v>NHS SOUTH WEST LONDON INTEGRATED CARE BOARD</v>
      </c>
      <c r="E33" s="56" t="s">
        <v>100</v>
      </c>
      <c r="F33" s="56" t="s">
        <v>101</v>
      </c>
      <c r="G33" s="56" t="s">
        <v>88</v>
      </c>
      <c r="H33" s="56">
        <v>96</v>
      </c>
      <c r="I33" s="56">
        <v>1244</v>
      </c>
      <c r="J33" s="65">
        <v>7.0949074074074074</v>
      </c>
      <c r="K33" s="65">
        <v>7.213541666666667</v>
      </c>
      <c r="L33" s="65">
        <v>6.9618055555555562</v>
      </c>
      <c r="M33" s="86">
        <v>7.109375</v>
      </c>
    </row>
    <row r="34" spans="1:13">
      <c r="A34" s="56" t="s">
        <v>43</v>
      </c>
      <c r="B34" s="56" t="s">
        <v>44</v>
      </c>
      <c r="C34" s="56" t="s">
        <v>97</v>
      </c>
      <c r="D34" s="56" t="str">
        <f>VLOOKUP(C34,'[2]From July 2022'!$D:$E,2,0)</f>
        <v>NHS SOUTH WEST LONDON INTEGRATED CARE BOARD</v>
      </c>
      <c r="E34" s="56" t="s">
        <v>102</v>
      </c>
      <c r="F34" s="56" t="s">
        <v>103</v>
      </c>
      <c r="G34" s="56" t="s">
        <v>55</v>
      </c>
      <c r="H34" s="56">
        <v>126</v>
      </c>
      <c r="I34" s="56">
        <v>2612</v>
      </c>
      <c r="J34" s="65">
        <v>6.7283950617283947</v>
      </c>
      <c r="K34" s="65">
        <v>6.5740740740740744</v>
      </c>
      <c r="L34" s="65">
        <v>6.9642857142857144</v>
      </c>
      <c r="M34" s="86">
        <v>6.6468253968253972</v>
      </c>
    </row>
    <row r="35" spans="1:13">
      <c r="A35" s="56" t="s">
        <v>43</v>
      </c>
      <c r="B35" s="56" t="s">
        <v>44</v>
      </c>
      <c r="C35" s="56" t="s">
        <v>97</v>
      </c>
      <c r="D35" s="56" t="str">
        <f>VLOOKUP(C35,'[2]From July 2022'!$D:$E,2,0)</f>
        <v>NHS SOUTH WEST LONDON INTEGRATED CARE BOARD</v>
      </c>
      <c r="E35" s="56" t="s">
        <v>104</v>
      </c>
      <c r="F35" s="56" t="s">
        <v>105</v>
      </c>
      <c r="G35" s="56" t="s">
        <v>48</v>
      </c>
      <c r="H35" s="56">
        <v>901</v>
      </c>
      <c r="I35" s="56">
        <v>9298</v>
      </c>
      <c r="J35" s="65">
        <v>6.1971266494018993</v>
      </c>
      <c r="K35" s="65">
        <v>6.205142434332223</v>
      </c>
      <c r="L35" s="65">
        <v>5.9702182759896418</v>
      </c>
      <c r="M35" s="86">
        <v>6.4160192378838321</v>
      </c>
    </row>
    <row r="36" spans="1:13">
      <c r="A36" s="56" t="s">
        <v>106</v>
      </c>
      <c r="B36" s="56" t="s">
        <v>107</v>
      </c>
      <c r="C36" s="56" t="s">
        <v>108</v>
      </c>
      <c r="D36" s="56" t="str">
        <f>VLOOKUP(C36,'[2]From July 2022'!$D:$E,2,0)</f>
        <v>NHS DEVON INTEGRATED CARE BOARD</v>
      </c>
      <c r="E36" s="56" t="s">
        <v>109</v>
      </c>
      <c r="F36" s="56" t="s">
        <v>110</v>
      </c>
      <c r="G36" s="56" t="s">
        <v>55</v>
      </c>
      <c r="H36" s="56">
        <v>94</v>
      </c>
      <c r="I36" s="56">
        <v>3602</v>
      </c>
      <c r="J36" s="65">
        <v>6.9001182033096926</v>
      </c>
      <c r="K36" s="65">
        <v>6.6755319148936172</v>
      </c>
      <c r="L36" s="65">
        <v>7.0921985815602833</v>
      </c>
      <c r="M36" s="86">
        <v>6.9326241134751765</v>
      </c>
    </row>
    <row r="37" spans="1:13">
      <c r="A37" s="56" t="s">
        <v>106</v>
      </c>
      <c r="B37" s="56" t="s">
        <v>107</v>
      </c>
      <c r="C37" s="56" t="s">
        <v>108</v>
      </c>
      <c r="D37" s="56" t="str">
        <f>VLOOKUP(C37,'[2]From July 2022'!$D:$E,2,0)</f>
        <v>NHS DEVON INTEGRATED CARE BOARD</v>
      </c>
      <c r="E37" s="56" t="s">
        <v>111</v>
      </c>
      <c r="F37" s="56" t="s">
        <v>112</v>
      </c>
      <c r="G37" s="56" t="s">
        <v>48</v>
      </c>
      <c r="H37" s="56">
        <v>1336</v>
      </c>
      <c r="I37" s="56">
        <v>0</v>
      </c>
      <c r="J37" s="65">
        <v>6.6873691828901114</v>
      </c>
      <c r="K37" s="65">
        <v>6.8051397205588815</v>
      </c>
      <c r="L37" s="65">
        <v>6.5605609332340533</v>
      </c>
      <c r="M37" s="86">
        <v>6.6964068948773967</v>
      </c>
    </row>
    <row r="38" spans="1:13">
      <c r="A38" s="56" t="s">
        <v>106</v>
      </c>
      <c r="B38" s="56" t="s">
        <v>107</v>
      </c>
      <c r="C38" s="56" t="s">
        <v>108</v>
      </c>
      <c r="D38" s="56" t="str">
        <f>VLOOKUP(C38,'[2]From July 2022'!$D:$E,2,0)</f>
        <v>NHS DEVON INTEGRATED CARE BOARD</v>
      </c>
      <c r="E38" s="56" t="s">
        <v>113</v>
      </c>
      <c r="F38" s="56" t="s">
        <v>114</v>
      </c>
      <c r="G38" s="56" t="s">
        <v>48</v>
      </c>
      <c r="H38" s="56">
        <v>208</v>
      </c>
      <c r="I38" s="56">
        <v>6744</v>
      </c>
      <c r="J38" s="65">
        <v>5.9513767482517492</v>
      </c>
      <c r="K38" s="65">
        <v>5.8409090909090908</v>
      </c>
      <c r="L38" s="65">
        <v>5.8934294871794872</v>
      </c>
      <c r="M38" s="86">
        <v>6.1197916666666661</v>
      </c>
    </row>
    <row r="39" spans="1:13">
      <c r="A39" s="56" t="s">
        <v>106</v>
      </c>
      <c r="B39" s="56" t="s">
        <v>107</v>
      </c>
      <c r="C39" s="56" t="s">
        <v>108</v>
      </c>
      <c r="D39" s="56" t="str">
        <f>VLOOKUP(C39,'[2]From July 2022'!$D:$E,2,0)</f>
        <v>NHS DEVON INTEGRATED CARE BOARD</v>
      </c>
      <c r="E39" s="56" t="s">
        <v>115</v>
      </c>
      <c r="F39" s="56" t="s">
        <v>116</v>
      </c>
      <c r="G39" s="56" t="s">
        <v>48</v>
      </c>
      <c r="H39" s="56">
        <v>1321</v>
      </c>
      <c r="I39" s="56">
        <v>9376</v>
      </c>
      <c r="J39" s="65">
        <v>6.4931615682728889</v>
      </c>
      <c r="K39" s="65">
        <v>6.4224572004028202</v>
      </c>
      <c r="L39" s="65">
        <v>6.2623012869038606</v>
      </c>
      <c r="M39" s="86">
        <v>6.794726217511986</v>
      </c>
    </row>
    <row r="40" spans="1:13">
      <c r="A40" s="56" t="s">
        <v>106</v>
      </c>
      <c r="B40" s="56" t="s">
        <v>107</v>
      </c>
      <c r="C40" s="56" t="s">
        <v>117</v>
      </c>
      <c r="D40" s="56" t="str">
        <f>VLOOKUP(C40,'[2]From July 2022'!$D:$E,2,0)</f>
        <v>NHS BATH AND NORTH EAST SOMERSET, SWINDON AND WILTSHIRE INTEGRATED CARE BOARD</v>
      </c>
      <c r="E40" s="56" t="s">
        <v>118</v>
      </c>
      <c r="F40" s="56" t="s">
        <v>119</v>
      </c>
      <c r="G40" s="56" t="s">
        <v>55</v>
      </c>
      <c r="H40" s="56">
        <v>256</v>
      </c>
      <c r="I40" s="56">
        <v>4555</v>
      </c>
      <c r="J40" s="65">
        <v>6.0536024305555562</v>
      </c>
      <c r="K40" s="65">
        <v>5.625</v>
      </c>
      <c r="L40" s="65">
        <v>6.25</v>
      </c>
      <c r="M40" s="86">
        <v>6.285807291666667</v>
      </c>
    </row>
    <row r="41" spans="1:13">
      <c r="A41" s="56" t="s">
        <v>106</v>
      </c>
      <c r="B41" s="56" t="s">
        <v>107</v>
      </c>
      <c r="C41" s="56" t="s">
        <v>117</v>
      </c>
      <c r="D41" s="56" t="str">
        <f>VLOOKUP(C41,'[2]From July 2022'!$D:$E,2,0)</f>
        <v>NHS BATH AND NORTH EAST SOMERSET, SWINDON AND WILTSHIRE INTEGRATED CARE BOARD</v>
      </c>
      <c r="E41" s="56" t="s">
        <v>120</v>
      </c>
      <c r="F41" s="56" t="s">
        <v>121</v>
      </c>
      <c r="G41" s="56" t="s">
        <v>48</v>
      </c>
      <c r="H41" s="56">
        <v>1252</v>
      </c>
      <c r="I41" s="56">
        <v>5305</v>
      </c>
      <c r="J41" s="65">
        <v>6.5191787407021531</v>
      </c>
      <c r="K41" s="65">
        <v>6.4237220447284349</v>
      </c>
      <c r="L41" s="65">
        <v>6.3116797900262469</v>
      </c>
      <c r="M41" s="86">
        <v>6.8221343873517784</v>
      </c>
    </row>
    <row r="42" spans="1:13">
      <c r="A42" s="56" t="s">
        <v>106</v>
      </c>
      <c r="B42" s="56" t="s">
        <v>107</v>
      </c>
      <c r="C42" s="56" t="s">
        <v>117</v>
      </c>
      <c r="D42" s="56" t="str">
        <f>VLOOKUP(C42,'[2]From July 2022'!$D:$E,2,0)</f>
        <v>NHS BATH AND NORTH EAST SOMERSET, SWINDON AND WILTSHIRE INTEGRATED CARE BOARD</v>
      </c>
      <c r="E42" s="56" t="s">
        <v>122</v>
      </c>
      <c r="F42" s="56" t="s">
        <v>123</v>
      </c>
      <c r="G42" s="56" t="s">
        <v>48</v>
      </c>
      <c r="H42" s="56">
        <v>274</v>
      </c>
      <c r="I42" s="56">
        <v>3875</v>
      </c>
      <c r="J42" s="65">
        <v>5.7968369829683697</v>
      </c>
      <c r="K42" s="65">
        <v>5.6082725060827254</v>
      </c>
      <c r="L42" s="65">
        <v>5.6843065693430654</v>
      </c>
      <c r="M42" s="86">
        <v>6.0979318734793182</v>
      </c>
    </row>
    <row r="43" spans="1:13">
      <c r="A43" s="56" t="s">
        <v>106</v>
      </c>
      <c r="B43" s="56" t="s">
        <v>107</v>
      </c>
      <c r="C43" s="56" t="s">
        <v>124</v>
      </c>
      <c r="D43" s="56" t="str">
        <f>VLOOKUP(C43,'[2]From July 2022'!$D:$E,2,0)</f>
        <v>NHS GLOUCESTERSHIRE INTEGRATED CARE BOARD</v>
      </c>
      <c r="E43" s="56" t="s">
        <v>125</v>
      </c>
      <c r="F43" s="56" t="s">
        <v>126</v>
      </c>
      <c r="G43" s="56" t="s">
        <v>55</v>
      </c>
      <c r="H43" s="56">
        <v>69</v>
      </c>
      <c r="I43" s="56">
        <v>4513</v>
      </c>
      <c r="J43" s="65">
        <v>7.14975845410628</v>
      </c>
      <c r="K43" s="65">
        <v>7.1859903381642507</v>
      </c>
      <c r="L43" s="65">
        <v>7.2463768115942031</v>
      </c>
      <c r="M43" s="86">
        <v>7.016908212560387</v>
      </c>
    </row>
    <row r="44" spans="1:13">
      <c r="A44" s="56" t="s">
        <v>106</v>
      </c>
      <c r="B44" s="56" t="s">
        <v>107</v>
      </c>
      <c r="C44" s="56" t="s">
        <v>124</v>
      </c>
      <c r="D44" s="56" t="str">
        <f>VLOOKUP(C44,'[2]From July 2022'!$D:$E,2,0)</f>
        <v>NHS GLOUCESTERSHIRE INTEGRATED CARE BOARD</v>
      </c>
      <c r="E44" s="56" t="s">
        <v>127</v>
      </c>
      <c r="F44" s="56" t="s">
        <v>128</v>
      </c>
      <c r="G44" s="56" t="s">
        <v>48</v>
      </c>
      <c r="H44" s="56">
        <v>943</v>
      </c>
      <c r="I44" s="56">
        <v>8225</v>
      </c>
      <c r="J44" s="65">
        <v>5.8118389920927624</v>
      </c>
      <c r="K44" s="65">
        <v>5.4536645525017624</v>
      </c>
      <c r="L44" s="65">
        <v>5.6618946624248858</v>
      </c>
      <c r="M44" s="86">
        <v>6.3199577613516364</v>
      </c>
    </row>
    <row r="45" spans="1:13">
      <c r="A45" s="56" t="s">
        <v>106</v>
      </c>
      <c r="B45" s="56" t="s">
        <v>107</v>
      </c>
      <c r="C45" s="56" t="s">
        <v>129</v>
      </c>
      <c r="D45" s="56" t="str">
        <f>VLOOKUP(C45,'[2]From July 2022'!$D:$E,2,0)</f>
        <v>NHS SOMERSET INTEGRATED CARE BOARD</v>
      </c>
      <c r="E45" s="56" t="s">
        <v>130</v>
      </c>
      <c r="F45" s="56" t="s">
        <v>131</v>
      </c>
      <c r="G45" s="56" t="s">
        <v>48</v>
      </c>
      <c r="H45" s="56">
        <v>634</v>
      </c>
      <c r="I45" s="56">
        <v>9671</v>
      </c>
      <c r="J45" s="65">
        <v>6.9343673326323163</v>
      </c>
      <c r="K45" s="65">
        <v>7.0754468980021024</v>
      </c>
      <c r="L45" s="65">
        <v>6.7797055730809666</v>
      </c>
      <c r="M45" s="86">
        <v>6.94794952681388</v>
      </c>
    </row>
    <row r="46" spans="1:13">
      <c r="A46" s="56" t="s">
        <v>106</v>
      </c>
      <c r="B46" s="56" t="s">
        <v>107</v>
      </c>
      <c r="C46" s="56" t="s">
        <v>129</v>
      </c>
      <c r="D46" s="56" t="str">
        <f>VLOOKUP(C46,'[2]From July 2022'!$D:$E,2,0)</f>
        <v>NHS SOMERSET INTEGRATED CARE BOARD</v>
      </c>
      <c r="E46" s="56" t="s">
        <v>132</v>
      </c>
      <c r="F46" s="56" t="s">
        <v>133</v>
      </c>
      <c r="G46" s="56" t="s">
        <v>48</v>
      </c>
      <c r="H46" s="56">
        <v>239</v>
      </c>
      <c r="I46" s="56">
        <v>2715</v>
      </c>
      <c r="J46" s="65">
        <v>6.5574151557415163</v>
      </c>
      <c r="K46" s="65">
        <v>6.6562064156206411</v>
      </c>
      <c r="L46" s="65">
        <v>6.3528591352859136</v>
      </c>
      <c r="M46" s="86">
        <v>6.6631799163179917</v>
      </c>
    </row>
    <row r="47" spans="1:13">
      <c r="A47" s="56" t="s">
        <v>106</v>
      </c>
      <c r="B47" s="56" t="s">
        <v>107</v>
      </c>
      <c r="C47" s="56" t="s">
        <v>134</v>
      </c>
      <c r="D47" s="56" t="str">
        <f>VLOOKUP(C47,'[2]From July 2022'!$D:$E,2,0)</f>
        <v>NHS CORNWALL AND THE ISLES OF SCILLY INTEGRATED CARE BOARD</v>
      </c>
      <c r="E47" s="56" t="s">
        <v>135</v>
      </c>
      <c r="F47" s="56" t="s">
        <v>136</v>
      </c>
      <c r="G47" s="56" t="s">
        <v>55</v>
      </c>
      <c r="H47" s="56">
        <v>16</v>
      </c>
      <c r="I47" s="56">
        <v>4113</v>
      </c>
      <c r="J47" s="65">
        <v>5.677083333333333</v>
      </c>
      <c r="K47" s="65">
        <v>5.9375</v>
      </c>
      <c r="L47" s="65">
        <v>5.052083333333333</v>
      </c>
      <c r="M47" s="86">
        <v>6.041666666666667</v>
      </c>
    </row>
    <row r="48" spans="1:13">
      <c r="A48" s="56" t="s">
        <v>106</v>
      </c>
      <c r="B48" s="56" t="s">
        <v>107</v>
      </c>
      <c r="C48" s="56" t="s">
        <v>134</v>
      </c>
      <c r="D48" s="56" t="str">
        <f>VLOOKUP(C48,'[2]From July 2022'!$D:$E,2,0)</f>
        <v>NHS CORNWALL AND THE ISLES OF SCILLY INTEGRATED CARE BOARD</v>
      </c>
      <c r="E48" s="56" t="s">
        <v>137</v>
      </c>
      <c r="F48" s="56" t="s">
        <v>138</v>
      </c>
      <c r="G48" s="56" t="s">
        <v>48</v>
      </c>
      <c r="H48" s="56">
        <v>783</v>
      </c>
      <c r="I48" s="56">
        <v>6833</v>
      </c>
      <c r="J48" s="65">
        <v>6.386744005442492</v>
      </c>
      <c r="K48" s="65">
        <v>6.1089825457641549</v>
      </c>
      <c r="L48" s="65">
        <v>6.5512494705633202</v>
      </c>
      <c r="M48" s="86">
        <v>6.5</v>
      </c>
    </row>
    <row r="49" spans="1:13">
      <c r="A49" s="56" t="s">
        <v>106</v>
      </c>
      <c r="B49" s="56" t="s">
        <v>107</v>
      </c>
      <c r="C49" s="56" t="s">
        <v>139</v>
      </c>
      <c r="D49" s="56" t="str">
        <f>VLOOKUP(C49,'[2]From July 2022'!$D:$E,2,0)</f>
        <v>NHS BRISTOL, NORTH SOMERSET AND SOUTH GLOUCESTERSHIRE INTEGRATED CARE BOARD</v>
      </c>
      <c r="E49" s="56" t="s">
        <v>140</v>
      </c>
      <c r="F49" s="56" t="s">
        <v>141</v>
      </c>
      <c r="G49" s="56" t="s">
        <v>48</v>
      </c>
      <c r="H49" s="56">
        <v>302</v>
      </c>
      <c r="I49" s="56">
        <v>9308</v>
      </c>
      <c r="J49" s="65">
        <v>6.417885166000044</v>
      </c>
      <c r="K49" s="65">
        <v>6.6859823399558502</v>
      </c>
      <c r="L49" s="65">
        <v>6.3383002207505523</v>
      </c>
      <c r="M49" s="86">
        <v>6.2293729372937294</v>
      </c>
    </row>
    <row r="50" spans="1:13">
      <c r="A50" s="56" t="s">
        <v>106</v>
      </c>
      <c r="B50" s="56" t="s">
        <v>107</v>
      </c>
      <c r="C50" s="56" t="s">
        <v>139</v>
      </c>
      <c r="D50" s="56" t="str">
        <f>VLOOKUP(C50,'[2]From July 2022'!$D:$E,2,0)</f>
        <v>NHS BRISTOL, NORTH SOMERSET AND SOUTH GLOUCESTERSHIRE INTEGRATED CARE BOARD</v>
      </c>
      <c r="E50" s="56" t="s">
        <v>142</v>
      </c>
      <c r="F50" s="56" t="s">
        <v>143</v>
      </c>
      <c r="G50" s="56" t="s">
        <v>48</v>
      </c>
      <c r="H50" s="56">
        <v>1212</v>
      </c>
      <c r="I50" s="56">
        <v>11560</v>
      </c>
      <c r="J50" s="65">
        <v>6.8578107810781077</v>
      </c>
      <c r="K50" s="65">
        <v>7.0221397139713977</v>
      </c>
      <c r="L50" s="65">
        <v>6.7141089108910892</v>
      </c>
      <c r="M50" s="86">
        <v>6.8371837183718362</v>
      </c>
    </row>
    <row r="51" spans="1:13">
      <c r="A51" s="56" t="s">
        <v>106</v>
      </c>
      <c r="B51" s="56" t="s">
        <v>107</v>
      </c>
      <c r="C51" s="56" t="s">
        <v>144</v>
      </c>
      <c r="D51" s="56" t="str">
        <f>VLOOKUP(C51,'[2]From July 2022'!$D:$E,2,0)</f>
        <v>NHS DORSET INTEGRATED CARE BOARD</v>
      </c>
      <c r="E51" s="56" t="s">
        <v>145</v>
      </c>
      <c r="F51" s="56" t="s">
        <v>146</v>
      </c>
      <c r="G51" s="56" t="s">
        <v>48</v>
      </c>
      <c r="H51" s="56">
        <v>476</v>
      </c>
      <c r="I51" s="56">
        <v>3212</v>
      </c>
      <c r="J51" s="65">
        <v>6.7997198879551819</v>
      </c>
      <c r="K51" s="65">
        <v>6.6999299719887953</v>
      </c>
      <c r="L51" s="65">
        <v>6.924019607843138</v>
      </c>
      <c r="M51" s="86">
        <v>6.7752100840336134</v>
      </c>
    </row>
    <row r="52" spans="1:13">
      <c r="A52" s="56" t="s">
        <v>106</v>
      </c>
      <c r="B52" s="56" t="s">
        <v>107</v>
      </c>
      <c r="C52" s="56" t="s">
        <v>144</v>
      </c>
      <c r="D52" s="56" t="str">
        <f>VLOOKUP(C52,'[2]From July 2022'!$D:$E,2,0)</f>
        <v>NHS DORSET INTEGRATED CARE BOARD</v>
      </c>
      <c r="E52" s="56" t="s">
        <v>147</v>
      </c>
      <c r="F52" s="56" t="s">
        <v>148</v>
      </c>
      <c r="G52" s="56" t="s">
        <v>55</v>
      </c>
      <c r="H52" s="56">
        <v>1074</v>
      </c>
      <c r="I52" s="56">
        <v>6427</v>
      </c>
      <c r="J52" s="65">
        <v>6.8544382371198012</v>
      </c>
      <c r="K52" s="65">
        <v>6.8234016139044069</v>
      </c>
      <c r="L52" s="65">
        <v>6.6076970825574177</v>
      </c>
      <c r="M52" s="86">
        <v>7.1322160148975788</v>
      </c>
    </row>
    <row r="53" spans="1:13">
      <c r="A53" s="56" t="s">
        <v>106</v>
      </c>
      <c r="B53" s="56" t="s">
        <v>107</v>
      </c>
      <c r="C53" s="56" t="s">
        <v>144</v>
      </c>
      <c r="D53" s="56" t="str">
        <f>VLOOKUP(C53,'[2]From July 2022'!$D:$E,2,0)</f>
        <v>NHS DORSET INTEGRATED CARE BOARD</v>
      </c>
      <c r="E53" s="56" t="s">
        <v>149</v>
      </c>
      <c r="F53" s="56" t="s">
        <v>150</v>
      </c>
      <c r="G53" s="56" t="s">
        <v>48</v>
      </c>
      <c r="H53" s="56">
        <v>179</v>
      </c>
      <c r="I53" s="56">
        <v>9217</v>
      </c>
      <c r="J53" s="65">
        <v>5.6486654252017381</v>
      </c>
      <c r="K53" s="65">
        <v>5.7076350093109864</v>
      </c>
      <c r="L53" s="65">
        <v>5.3351955307262573</v>
      </c>
      <c r="M53" s="86">
        <v>5.9031657355679705</v>
      </c>
    </row>
    <row r="54" spans="1:13">
      <c r="A54" s="56" t="s">
        <v>151</v>
      </c>
      <c r="B54" s="56" t="s">
        <v>152</v>
      </c>
      <c r="C54" s="56" t="s">
        <v>153</v>
      </c>
      <c r="D54" s="56" t="str">
        <f>VLOOKUP(C54,'[2]From July 2022'!$D:$E,2,0)</f>
        <v>NHS KENT AND MEDWAY INTEGRATED CARE BOARD</v>
      </c>
      <c r="E54" s="56" t="s">
        <v>154</v>
      </c>
      <c r="F54" s="56" t="s">
        <v>155</v>
      </c>
      <c r="G54" s="56" t="s">
        <v>48</v>
      </c>
      <c r="H54" s="56">
        <v>230</v>
      </c>
      <c r="I54" s="56">
        <v>3966</v>
      </c>
      <c r="J54" s="65">
        <v>6.4842995169082123</v>
      </c>
      <c r="K54" s="65">
        <v>6.7572463768115947</v>
      </c>
      <c r="L54" s="65">
        <v>6.1050724637681162</v>
      </c>
      <c r="M54" s="86">
        <v>6.5905797101449268</v>
      </c>
    </row>
    <row r="55" spans="1:13">
      <c r="A55" s="56" t="s">
        <v>151</v>
      </c>
      <c r="B55" s="56" t="s">
        <v>152</v>
      </c>
      <c r="C55" s="56" t="s">
        <v>153</v>
      </c>
      <c r="D55" s="56" t="str">
        <f>VLOOKUP(C55,'[2]From July 2022'!$D:$E,2,0)</f>
        <v>NHS KENT AND MEDWAY INTEGRATED CARE BOARD</v>
      </c>
      <c r="E55" s="56" t="s">
        <v>156</v>
      </c>
      <c r="F55" s="56" t="s">
        <v>157</v>
      </c>
      <c r="G55" s="56" t="s">
        <v>48</v>
      </c>
      <c r="H55" s="56">
        <v>2456</v>
      </c>
      <c r="I55" s="56">
        <v>10356</v>
      </c>
      <c r="J55" s="65">
        <v>6.3425112114168352</v>
      </c>
      <c r="K55" s="65">
        <v>5.9602334419109662</v>
      </c>
      <c r="L55" s="65">
        <v>6.2815378454144977</v>
      </c>
      <c r="M55" s="86">
        <v>6.7857623469250434</v>
      </c>
    </row>
    <row r="56" spans="1:13">
      <c r="A56" s="56" t="s">
        <v>151</v>
      </c>
      <c r="B56" s="56" t="s">
        <v>152</v>
      </c>
      <c r="C56" s="56" t="s">
        <v>153</v>
      </c>
      <c r="D56" s="56" t="str">
        <f>VLOOKUP(C56,'[2]From July 2022'!$D:$E,2,0)</f>
        <v>NHS KENT AND MEDWAY INTEGRATED CARE BOARD</v>
      </c>
      <c r="E56" s="56" t="s">
        <v>158</v>
      </c>
      <c r="F56" s="56" t="s">
        <v>159</v>
      </c>
      <c r="G56" s="56" t="s">
        <v>55</v>
      </c>
      <c r="H56" s="56">
        <v>174</v>
      </c>
      <c r="I56" s="56">
        <v>3451</v>
      </c>
      <c r="J56" s="65">
        <v>6.5118135376756063</v>
      </c>
      <c r="K56" s="65">
        <v>6.1829501915708809</v>
      </c>
      <c r="L56" s="65">
        <v>6.7385057471264371</v>
      </c>
      <c r="M56" s="86">
        <v>6.6139846743295019</v>
      </c>
    </row>
    <row r="57" spans="1:13">
      <c r="A57" s="56" t="s">
        <v>151</v>
      </c>
      <c r="B57" s="56" t="s">
        <v>152</v>
      </c>
      <c r="C57" s="56" t="s">
        <v>153</v>
      </c>
      <c r="D57" s="56" t="str">
        <f>VLOOKUP(C57,'[2]From July 2022'!$D:$E,2,0)</f>
        <v>NHS KENT AND MEDWAY INTEGRATED CARE BOARD</v>
      </c>
      <c r="E57" s="56" t="s">
        <v>160</v>
      </c>
      <c r="F57" s="56" t="s">
        <v>161</v>
      </c>
      <c r="G57" s="56" t="s">
        <v>88</v>
      </c>
      <c r="H57" s="56">
        <v>820</v>
      </c>
      <c r="I57" s="56">
        <v>4913</v>
      </c>
      <c r="J57" s="65">
        <v>6.7046070460704605</v>
      </c>
      <c r="K57" s="65">
        <v>6.8638211382113816</v>
      </c>
      <c r="L57" s="65">
        <v>6.5904471544715451</v>
      </c>
      <c r="M57" s="86">
        <v>6.6595528455284549</v>
      </c>
    </row>
    <row r="58" spans="1:13">
      <c r="A58" s="56" t="s">
        <v>151</v>
      </c>
      <c r="B58" s="56" t="s">
        <v>152</v>
      </c>
      <c r="C58" s="56" t="s">
        <v>153</v>
      </c>
      <c r="D58" s="56" t="str">
        <f>VLOOKUP(C58,'[2]From July 2022'!$D:$E,2,0)</f>
        <v>NHS KENT AND MEDWAY INTEGRATED CARE BOARD</v>
      </c>
      <c r="E58" s="56" t="s">
        <v>162</v>
      </c>
      <c r="F58" s="56" t="s">
        <v>163</v>
      </c>
      <c r="G58" s="56" t="s">
        <v>48</v>
      </c>
      <c r="H58" s="56">
        <v>1039</v>
      </c>
      <c r="I58" s="56">
        <v>6709</v>
      </c>
      <c r="J58" s="65">
        <v>6.9428403379317727</v>
      </c>
      <c r="K58" s="65">
        <v>7.1703561116458134</v>
      </c>
      <c r="L58" s="65">
        <v>6.6097208854667953</v>
      </c>
      <c r="M58" s="86">
        <v>7.0484440166827076</v>
      </c>
    </row>
    <row r="59" spans="1:13">
      <c r="A59" s="56" t="s">
        <v>151</v>
      </c>
      <c r="B59" s="56" t="s">
        <v>152</v>
      </c>
      <c r="C59" s="56" t="s">
        <v>153</v>
      </c>
      <c r="D59" s="56" t="str">
        <f>VLOOKUP(C59,'[2]From July 2022'!$D:$E,2,0)</f>
        <v>NHS KENT AND MEDWAY INTEGRATED CARE BOARD</v>
      </c>
      <c r="E59" s="56" t="s">
        <v>164</v>
      </c>
      <c r="F59" s="56" t="s">
        <v>165</v>
      </c>
      <c r="G59" s="56" t="s">
        <v>48</v>
      </c>
      <c r="H59" s="56">
        <v>41</v>
      </c>
      <c r="I59" s="56">
        <v>4620</v>
      </c>
      <c r="J59" s="65">
        <v>5.48780487804878</v>
      </c>
      <c r="K59" s="65">
        <v>5.0609756097560972</v>
      </c>
      <c r="L59" s="65">
        <v>5.3658536585365857</v>
      </c>
      <c r="M59" s="86">
        <v>6.0365853658536581</v>
      </c>
    </row>
    <row r="60" spans="1:13">
      <c r="A60" s="56" t="s">
        <v>151</v>
      </c>
      <c r="B60" s="56" t="s">
        <v>152</v>
      </c>
      <c r="C60" s="56" t="s">
        <v>166</v>
      </c>
      <c r="D60" s="56" t="str">
        <f>VLOOKUP(C60,'[2]From July 2022'!$D:$E,2,0)</f>
        <v>NHS FRIMLEY INTEGRATED CARE BOARD</v>
      </c>
      <c r="E60" s="56" t="s">
        <v>167</v>
      </c>
      <c r="F60" s="56" t="s">
        <v>168</v>
      </c>
      <c r="G60" s="56" t="s">
        <v>55</v>
      </c>
      <c r="H60" s="56">
        <v>1527</v>
      </c>
      <c r="I60" s="56">
        <v>4670</v>
      </c>
      <c r="J60" s="65">
        <v>7.3415702758677766</v>
      </c>
      <c r="K60" s="65">
        <v>7.5594848286400351</v>
      </c>
      <c r="L60" s="65">
        <v>7.176286208387376</v>
      </c>
      <c r="M60" s="86">
        <v>7.2889397905759159</v>
      </c>
    </row>
    <row r="61" spans="1:13">
      <c r="A61" s="56" t="s">
        <v>151</v>
      </c>
      <c r="B61" s="56" t="s">
        <v>152</v>
      </c>
      <c r="C61" s="56" t="s">
        <v>166</v>
      </c>
      <c r="D61" s="56" t="str">
        <f>VLOOKUP(C61,'[2]From July 2022'!$D:$E,2,0)</f>
        <v>NHS FRIMLEY INTEGRATED CARE BOARD</v>
      </c>
      <c r="E61" s="56" t="s">
        <v>169</v>
      </c>
      <c r="F61" s="56" t="s">
        <v>170</v>
      </c>
      <c r="G61" s="56" t="s">
        <v>48</v>
      </c>
      <c r="H61" s="56">
        <v>1499</v>
      </c>
      <c r="I61" s="56">
        <v>9971</v>
      </c>
      <c r="J61" s="65">
        <v>6.6046610714129086</v>
      </c>
      <c r="K61" s="65">
        <v>6.7094729819879921</v>
      </c>
      <c r="L61" s="65">
        <v>6.3263296126066972</v>
      </c>
      <c r="M61" s="86">
        <v>6.7781806196440346</v>
      </c>
    </row>
    <row r="62" spans="1:13">
      <c r="A62" s="56" t="s">
        <v>151</v>
      </c>
      <c r="B62" s="56" t="s">
        <v>152</v>
      </c>
      <c r="C62" s="56" t="s">
        <v>171</v>
      </c>
      <c r="D62" s="56" t="str">
        <f>VLOOKUP(C62,'[2]From July 2022'!$D:$E,2,0)</f>
        <v>NHS SUSSEX INTEGRATED CARE BOARD</v>
      </c>
      <c r="E62" s="56" t="s">
        <v>172</v>
      </c>
      <c r="F62" s="56" t="s">
        <v>173</v>
      </c>
      <c r="G62" s="56" t="s">
        <v>48</v>
      </c>
      <c r="H62" s="56">
        <v>301</v>
      </c>
      <c r="I62" s="56">
        <v>7875</v>
      </c>
      <c r="J62" s="65">
        <v>6.1664820967146552</v>
      </c>
      <c r="K62" s="65">
        <v>6.1074197120708744</v>
      </c>
      <c r="L62" s="65">
        <v>5.9939091915836107</v>
      </c>
      <c r="M62" s="86">
        <v>6.3981173864894796</v>
      </c>
    </row>
    <row r="63" spans="1:13">
      <c r="A63" s="56" t="s">
        <v>151</v>
      </c>
      <c r="B63" s="56" t="s">
        <v>152</v>
      </c>
      <c r="C63" s="56" t="s">
        <v>171</v>
      </c>
      <c r="D63" s="56" t="str">
        <f>VLOOKUP(C63,'[2]From July 2022'!$D:$E,2,0)</f>
        <v>NHS SUSSEX INTEGRATED CARE BOARD</v>
      </c>
      <c r="E63" s="56" t="s">
        <v>174</v>
      </c>
      <c r="F63" s="56" t="s">
        <v>175</v>
      </c>
      <c r="G63" s="56" t="s">
        <v>72</v>
      </c>
      <c r="H63" s="56">
        <v>159</v>
      </c>
      <c r="I63" s="56">
        <v>1074</v>
      </c>
      <c r="J63" s="65">
        <v>7.2781271837875607</v>
      </c>
      <c r="K63" s="65">
        <v>7.8144654088050318</v>
      </c>
      <c r="L63" s="65">
        <v>6.8134171907756809</v>
      </c>
      <c r="M63" s="86">
        <v>7.2064989517819704</v>
      </c>
    </row>
    <row r="64" spans="1:13">
      <c r="A64" s="56" t="s">
        <v>151</v>
      </c>
      <c r="B64" s="56" t="s">
        <v>152</v>
      </c>
      <c r="C64" s="56" t="s">
        <v>171</v>
      </c>
      <c r="D64" s="56" t="str">
        <f>VLOOKUP(C64,'[2]From July 2022'!$D:$E,2,0)</f>
        <v>NHS SUSSEX INTEGRATED CARE BOARD</v>
      </c>
      <c r="E64" s="56" t="s">
        <v>176</v>
      </c>
      <c r="F64" s="56" t="s">
        <v>177</v>
      </c>
      <c r="G64" s="56" t="s">
        <v>178</v>
      </c>
      <c r="H64" s="56">
        <v>111</v>
      </c>
      <c r="I64" s="56">
        <v>4198</v>
      </c>
      <c r="J64" s="65">
        <v>4.3143143143143137</v>
      </c>
      <c r="K64" s="65">
        <v>4.1441441441441444</v>
      </c>
      <c r="L64" s="65">
        <v>3.8813813813813813</v>
      </c>
      <c r="M64" s="86">
        <v>4.9174174174174174</v>
      </c>
    </row>
    <row r="65" spans="1:13">
      <c r="A65" s="56" t="s">
        <v>151</v>
      </c>
      <c r="B65" s="56" t="s">
        <v>152</v>
      </c>
      <c r="C65" s="56" t="s">
        <v>171</v>
      </c>
      <c r="D65" s="56" t="str">
        <f>VLOOKUP(C65,'[2]From July 2022'!$D:$E,2,0)</f>
        <v>NHS SUSSEX INTEGRATED CARE BOARD</v>
      </c>
      <c r="E65" s="56" t="s">
        <v>179</v>
      </c>
      <c r="F65" s="56" t="s">
        <v>180</v>
      </c>
      <c r="G65" s="56" t="s">
        <v>88</v>
      </c>
      <c r="H65" s="56">
        <v>90</v>
      </c>
      <c r="I65" s="56">
        <v>5318</v>
      </c>
      <c r="J65" s="65">
        <v>6.9197530864197532</v>
      </c>
      <c r="K65" s="65">
        <v>6.9907407407407405</v>
      </c>
      <c r="L65" s="65">
        <v>6.8425925925925934</v>
      </c>
      <c r="M65" s="86">
        <v>6.9259259259259265</v>
      </c>
    </row>
    <row r="66" spans="1:13">
      <c r="A66" s="56" t="s">
        <v>151</v>
      </c>
      <c r="B66" s="56" t="s">
        <v>152</v>
      </c>
      <c r="C66" s="56" t="s">
        <v>171</v>
      </c>
      <c r="D66" s="56" t="str">
        <f>VLOOKUP(C66,'[2]From July 2022'!$D:$E,2,0)</f>
        <v>NHS SUSSEX INTEGRATED CARE BOARD</v>
      </c>
      <c r="E66" s="56" t="s">
        <v>181</v>
      </c>
      <c r="F66" s="56" t="s">
        <v>182</v>
      </c>
      <c r="G66" s="56" t="s">
        <v>55</v>
      </c>
      <c r="H66" s="56">
        <v>187</v>
      </c>
      <c r="I66" s="56">
        <v>5533</v>
      </c>
      <c r="J66" s="65">
        <v>6.3532382650029717</v>
      </c>
      <c r="K66" s="65">
        <v>6.0427807486631018</v>
      </c>
      <c r="L66" s="65">
        <v>6.5062388591800362</v>
      </c>
      <c r="M66" s="86">
        <v>6.5106951871657754</v>
      </c>
    </row>
    <row r="67" spans="1:13">
      <c r="A67" s="56" t="s">
        <v>151</v>
      </c>
      <c r="B67" s="56" t="s">
        <v>152</v>
      </c>
      <c r="C67" s="56" t="s">
        <v>171</v>
      </c>
      <c r="D67" s="56" t="str">
        <f>VLOOKUP(C67,'[2]From July 2022'!$D:$E,2,0)</f>
        <v>NHS SUSSEX INTEGRATED CARE BOARD</v>
      </c>
      <c r="E67" s="56" t="s">
        <v>183</v>
      </c>
      <c r="F67" s="56" t="s">
        <v>184</v>
      </c>
      <c r="G67" s="56" t="s">
        <v>48</v>
      </c>
      <c r="H67" s="56">
        <v>220</v>
      </c>
      <c r="I67" s="56">
        <v>16095</v>
      </c>
      <c r="J67" s="65">
        <v>5.2601010101010104</v>
      </c>
      <c r="K67" s="65">
        <v>4.8598484848484853</v>
      </c>
      <c r="L67" s="65">
        <v>5.4545454545454541</v>
      </c>
      <c r="M67" s="86">
        <v>5.4659090909090908</v>
      </c>
    </row>
    <row r="68" spans="1:13">
      <c r="A68" s="56" t="s">
        <v>151</v>
      </c>
      <c r="B68" s="56" t="s">
        <v>152</v>
      </c>
      <c r="C68" s="56" t="s">
        <v>185</v>
      </c>
      <c r="D68" s="56" t="str">
        <f>VLOOKUP(C68,'[2]From July 2022'!$D:$E,2,0)</f>
        <v>NHS HAMPSHIRE AND ISLE OF WIGHT INTEGRATED CARE BOARD</v>
      </c>
      <c r="E68" s="56" t="s">
        <v>186</v>
      </c>
      <c r="F68" s="56" t="s">
        <v>187</v>
      </c>
      <c r="G68" s="56" t="s">
        <v>48</v>
      </c>
      <c r="H68" s="56">
        <v>816</v>
      </c>
      <c r="I68" s="56">
        <v>7394</v>
      </c>
      <c r="J68" s="65">
        <v>6.4253131808278861</v>
      </c>
      <c r="K68" s="65">
        <v>6.2571486928104569</v>
      </c>
      <c r="L68" s="65">
        <v>6.3582516339869279</v>
      </c>
      <c r="M68" s="86">
        <v>6.6605392156862742</v>
      </c>
    </row>
    <row r="69" spans="1:13">
      <c r="A69" s="56" t="s">
        <v>151</v>
      </c>
      <c r="B69" s="56" t="s">
        <v>152</v>
      </c>
      <c r="C69" s="56" t="s">
        <v>185</v>
      </c>
      <c r="D69" s="56" t="str">
        <f>VLOOKUP(C69,'[2]From July 2022'!$D:$E,2,0)</f>
        <v>NHS HAMPSHIRE AND ISLE OF WIGHT INTEGRATED CARE BOARD</v>
      </c>
      <c r="E69" s="56" t="s">
        <v>188</v>
      </c>
      <c r="F69" s="56" t="s">
        <v>189</v>
      </c>
      <c r="G69" s="56" t="s">
        <v>48</v>
      </c>
      <c r="H69" s="56">
        <v>482</v>
      </c>
      <c r="I69" s="56">
        <v>3620</v>
      </c>
      <c r="J69" s="65">
        <v>6.6600718233203109</v>
      </c>
      <c r="K69" s="65">
        <v>6.3267770876466534</v>
      </c>
      <c r="L69" s="65">
        <v>6.604683195592286</v>
      </c>
      <c r="M69" s="86">
        <v>7.0487551867219915</v>
      </c>
    </row>
    <row r="70" spans="1:13">
      <c r="A70" s="56" t="s">
        <v>151</v>
      </c>
      <c r="B70" s="56" t="s">
        <v>152</v>
      </c>
      <c r="C70" s="56" t="s">
        <v>185</v>
      </c>
      <c r="D70" s="56" t="str">
        <f>VLOOKUP(C70,'[2]From July 2022'!$D:$E,2,0)</f>
        <v>NHS HAMPSHIRE AND ISLE OF WIGHT INTEGRATED CARE BOARD</v>
      </c>
      <c r="E70" s="56" t="s">
        <v>190</v>
      </c>
      <c r="F70" s="56" t="s">
        <v>191</v>
      </c>
      <c r="G70" s="56" t="s">
        <v>48</v>
      </c>
      <c r="H70" s="56">
        <v>1032</v>
      </c>
      <c r="I70" s="56">
        <v>7994</v>
      </c>
      <c r="J70" s="65">
        <v>6.3961563307493536</v>
      </c>
      <c r="K70" s="65">
        <v>6.4316860465116283</v>
      </c>
      <c r="L70" s="65">
        <v>6.2209302325581399</v>
      </c>
      <c r="M70" s="86">
        <v>6.5358527131782944</v>
      </c>
    </row>
    <row r="71" spans="1:13">
      <c r="A71" s="56" t="s">
        <v>151</v>
      </c>
      <c r="B71" s="56" t="s">
        <v>152</v>
      </c>
      <c r="C71" s="56" t="s">
        <v>185</v>
      </c>
      <c r="D71" s="56" t="str">
        <f>VLOOKUP(C71,'[2]From July 2022'!$D:$E,2,0)</f>
        <v>NHS HAMPSHIRE AND ISLE OF WIGHT INTEGRATED CARE BOARD</v>
      </c>
      <c r="E71" s="56" t="s">
        <v>192</v>
      </c>
      <c r="F71" s="56" t="s">
        <v>193</v>
      </c>
      <c r="G71" s="56" t="s">
        <v>55</v>
      </c>
      <c r="H71" s="56">
        <v>429</v>
      </c>
      <c r="I71" s="56">
        <v>4041</v>
      </c>
      <c r="J71" s="65">
        <v>7.2429422429422443</v>
      </c>
      <c r="K71" s="65">
        <v>7.4883449883449886</v>
      </c>
      <c r="L71" s="65">
        <v>7.1289821289821296</v>
      </c>
      <c r="M71" s="86">
        <v>7.1114996114996121</v>
      </c>
    </row>
    <row r="72" spans="1:13">
      <c r="A72" s="56" t="s">
        <v>151</v>
      </c>
      <c r="B72" s="56" t="s">
        <v>152</v>
      </c>
      <c r="C72" s="56" t="s">
        <v>185</v>
      </c>
      <c r="D72" s="56" t="str">
        <f>VLOOKUP(C72,'[2]From July 2022'!$D:$E,2,0)</f>
        <v>NHS HAMPSHIRE AND ISLE OF WIGHT INTEGRATED CARE BOARD</v>
      </c>
      <c r="E72" s="56" t="s">
        <v>194</v>
      </c>
      <c r="F72" s="56" t="s">
        <v>195</v>
      </c>
      <c r="G72" s="56" t="s">
        <v>55</v>
      </c>
      <c r="H72" s="56">
        <v>1830</v>
      </c>
      <c r="I72" s="56">
        <v>6321</v>
      </c>
      <c r="J72" s="65">
        <v>6.9751587012461336</v>
      </c>
      <c r="K72" s="65">
        <v>6.7493333333333334</v>
      </c>
      <c r="L72" s="65">
        <v>7.4234972677595632</v>
      </c>
      <c r="M72" s="86">
        <v>6.7526455026455023</v>
      </c>
    </row>
    <row r="73" spans="1:13">
      <c r="A73" s="56" t="s">
        <v>151</v>
      </c>
      <c r="B73" s="56" t="s">
        <v>152</v>
      </c>
      <c r="C73" s="56" t="s">
        <v>185</v>
      </c>
      <c r="D73" s="56" t="str">
        <f>VLOOKUP(C73,'[2]From July 2022'!$D:$E,2,0)</f>
        <v>NHS HAMPSHIRE AND ISLE OF WIGHT INTEGRATED CARE BOARD</v>
      </c>
      <c r="E73" s="56" t="s">
        <v>196</v>
      </c>
      <c r="F73" s="56" t="s">
        <v>197</v>
      </c>
      <c r="G73" s="56" t="s">
        <v>48</v>
      </c>
      <c r="H73" s="56">
        <v>2809</v>
      </c>
      <c r="I73" s="56">
        <v>12425</v>
      </c>
      <c r="J73" s="65">
        <v>7.0432295877592646</v>
      </c>
      <c r="K73" s="65">
        <v>7.5175032633202807</v>
      </c>
      <c r="L73" s="65">
        <v>6.7193199199905864</v>
      </c>
      <c r="M73" s="86">
        <v>6.8928655799669274</v>
      </c>
    </row>
    <row r="74" spans="1:13">
      <c r="A74" s="56" t="s">
        <v>151</v>
      </c>
      <c r="B74" s="56" t="s">
        <v>152</v>
      </c>
      <c r="C74" s="56" t="s">
        <v>198</v>
      </c>
      <c r="D74" s="56" t="str">
        <f>VLOOKUP(C74,'[2]From July 2022'!$D:$E,2,0)</f>
        <v>NHS BUCKINGHAMSHIRE, OXFORDSHIRE AND BERKSHIRE WEST INTEGRATED CARE BOARD</v>
      </c>
      <c r="E74" s="56" t="s">
        <v>199</v>
      </c>
      <c r="F74" s="56" t="s">
        <v>200</v>
      </c>
      <c r="G74" s="56" t="s">
        <v>48</v>
      </c>
      <c r="H74" s="56">
        <v>705</v>
      </c>
      <c r="I74" s="56">
        <v>6239</v>
      </c>
      <c r="J74" s="65">
        <v>6.6544523246650904</v>
      </c>
      <c r="K74" s="65">
        <v>6.6359338061465714</v>
      </c>
      <c r="L74" s="65">
        <v>6.4988179669030739</v>
      </c>
      <c r="M74" s="86">
        <v>6.8286052009456268</v>
      </c>
    </row>
    <row r="75" spans="1:13">
      <c r="A75" s="56" t="s">
        <v>151</v>
      </c>
      <c r="B75" s="56" t="s">
        <v>152</v>
      </c>
      <c r="C75" s="56" t="s">
        <v>198</v>
      </c>
      <c r="D75" s="56" t="str">
        <f>VLOOKUP(C75,'[2]From July 2022'!$D:$E,2,0)</f>
        <v>NHS BUCKINGHAMSHIRE, OXFORDSHIRE AND BERKSHIRE WEST INTEGRATED CARE BOARD</v>
      </c>
      <c r="E75" s="56" t="s">
        <v>201</v>
      </c>
      <c r="F75" s="56" t="s">
        <v>202</v>
      </c>
      <c r="G75" s="56" t="s">
        <v>55</v>
      </c>
      <c r="H75" s="56">
        <v>1002</v>
      </c>
      <c r="I75" s="56">
        <v>6072</v>
      </c>
      <c r="J75" s="65">
        <v>6.7445664227101361</v>
      </c>
      <c r="K75" s="65">
        <v>6.8055555555555562</v>
      </c>
      <c r="L75" s="65">
        <v>6.6009647371922826</v>
      </c>
      <c r="M75" s="86">
        <v>6.8271789753825676</v>
      </c>
    </row>
    <row r="76" spans="1:13">
      <c r="A76" s="56" t="s">
        <v>151</v>
      </c>
      <c r="B76" s="56" t="s">
        <v>152</v>
      </c>
      <c r="C76" s="56" t="s">
        <v>198</v>
      </c>
      <c r="D76" s="56" t="str">
        <f>VLOOKUP(C76,'[2]From July 2022'!$D:$E,2,0)</f>
        <v>NHS BUCKINGHAMSHIRE, OXFORDSHIRE AND BERKSHIRE WEST INTEGRATED CARE BOARD</v>
      </c>
      <c r="E76" s="56" t="s">
        <v>203</v>
      </c>
      <c r="F76" s="56" t="s">
        <v>204</v>
      </c>
      <c r="G76" s="56" t="s">
        <v>48</v>
      </c>
      <c r="H76" s="56">
        <v>2220</v>
      </c>
      <c r="I76" s="56">
        <v>13438</v>
      </c>
      <c r="J76" s="65">
        <v>6.7976084697018342</v>
      </c>
      <c r="K76" s="65">
        <v>6.9527027027027026</v>
      </c>
      <c r="L76" s="65">
        <v>6.5764662212323683</v>
      </c>
      <c r="M76" s="86">
        <v>6.8636564851704298</v>
      </c>
    </row>
    <row r="77" spans="1:13">
      <c r="A77" s="56" t="s">
        <v>151</v>
      </c>
      <c r="B77" s="56" t="s">
        <v>152</v>
      </c>
      <c r="C77" s="56" t="s">
        <v>198</v>
      </c>
      <c r="D77" s="56" t="str">
        <f>VLOOKUP(C77,'[2]From July 2022'!$D:$E,2,0)</f>
        <v>NHS BUCKINGHAMSHIRE, OXFORDSHIRE AND BERKSHIRE WEST INTEGRATED CARE BOARD</v>
      </c>
      <c r="E77" s="56" t="s">
        <v>205</v>
      </c>
      <c r="F77" s="56" t="s">
        <v>206</v>
      </c>
      <c r="G77" s="56" t="s">
        <v>48</v>
      </c>
      <c r="H77" s="56">
        <v>143</v>
      </c>
      <c r="I77" s="56">
        <v>5899</v>
      </c>
      <c r="J77" s="65">
        <v>6.287878787878789</v>
      </c>
      <c r="K77" s="65">
        <v>6.596736596736597</v>
      </c>
      <c r="L77" s="65">
        <v>5.9673659673659678</v>
      </c>
      <c r="M77" s="86">
        <v>6.2995337995337994</v>
      </c>
    </row>
    <row r="78" spans="1:13">
      <c r="A78" s="56" t="s">
        <v>151</v>
      </c>
      <c r="B78" s="56" t="s">
        <v>152</v>
      </c>
      <c r="C78" s="56" t="s">
        <v>198</v>
      </c>
      <c r="D78" s="56" t="str">
        <f>VLOOKUP(C78,'[2]From July 2022'!$D:$E,2,0)</f>
        <v>NHS BUCKINGHAMSHIRE, OXFORDSHIRE AND BERKSHIRE WEST INTEGRATED CARE BOARD</v>
      </c>
      <c r="E78" s="56" t="s">
        <v>207</v>
      </c>
      <c r="F78" s="56" t="s">
        <v>208</v>
      </c>
      <c r="G78" s="56" t="s">
        <v>178</v>
      </c>
      <c r="H78" s="56">
        <v>277</v>
      </c>
      <c r="I78" s="56">
        <v>4516</v>
      </c>
      <c r="J78" s="65">
        <v>5.4502607300441239</v>
      </c>
      <c r="K78" s="65">
        <v>5.5655836341756926</v>
      </c>
      <c r="L78" s="65">
        <v>5.0421179302045731</v>
      </c>
      <c r="M78" s="86">
        <v>5.7430806257521052</v>
      </c>
    </row>
    <row r="79" spans="1:13">
      <c r="A79" s="56" t="s">
        <v>209</v>
      </c>
      <c r="B79" s="56" t="s">
        <v>210</v>
      </c>
      <c r="C79" s="56" t="s">
        <v>211</v>
      </c>
      <c r="D79" s="56" t="str">
        <f>VLOOKUP(C79,'[2]From July 2022'!$D:$E,2,0)</f>
        <v>NHS HEREFORDSHIRE AND WORCESTERSHIRE INTEGRATED CARE BOARD</v>
      </c>
      <c r="E79" s="56" t="s">
        <v>212</v>
      </c>
      <c r="F79" s="56" t="s">
        <v>213</v>
      </c>
      <c r="G79" s="56" t="s">
        <v>55</v>
      </c>
      <c r="H79" s="56">
        <v>372</v>
      </c>
      <c r="I79" s="56">
        <v>4434</v>
      </c>
      <c r="J79" s="65">
        <v>6.7913799923767053</v>
      </c>
      <c r="K79" s="65">
        <v>6.588471849865952</v>
      </c>
      <c r="L79" s="65">
        <v>6.7314566577301163</v>
      </c>
      <c r="M79" s="86">
        <v>7.0542114695340494</v>
      </c>
    </row>
    <row r="80" spans="1:13">
      <c r="A80" s="56" t="s">
        <v>209</v>
      </c>
      <c r="B80" s="56" t="s">
        <v>210</v>
      </c>
      <c r="C80" s="56" t="s">
        <v>211</v>
      </c>
      <c r="D80" s="56" t="str">
        <f>VLOOKUP(C80,'[2]From July 2022'!$D:$E,2,0)</f>
        <v>NHS HEREFORDSHIRE AND WORCESTERSHIRE INTEGRATED CARE BOARD</v>
      </c>
      <c r="E80" s="56" t="s">
        <v>214</v>
      </c>
      <c r="F80" s="56" t="s">
        <v>215</v>
      </c>
      <c r="G80" s="56" t="s">
        <v>48</v>
      </c>
      <c r="H80" s="56">
        <v>259</v>
      </c>
      <c r="I80" s="56">
        <v>6633</v>
      </c>
      <c r="J80" s="65">
        <v>6.1700986700986702</v>
      </c>
      <c r="K80" s="65">
        <v>5.9845559845559846</v>
      </c>
      <c r="L80" s="65">
        <v>6.1068211068211067</v>
      </c>
      <c r="M80" s="86">
        <v>6.4189189189189193</v>
      </c>
    </row>
    <row r="81" spans="1:13">
      <c r="A81" s="56" t="s">
        <v>209</v>
      </c>
      <c r="B81" s="56" t="s">
        <v>210</v>
      </c>
      <c r="C81" s="56" t="s">
        <v>211</v>
      </c>
      <c r="D81" s="56" t="str">
        <f>VLOOKUP(C81,'[2]From July 2022'!$D:$E,2,0)</f>
        <v>NHS HEREFORDSHIRE AND WORCESTERSHIRE INTEGRATED CARE BOARD</v>
      </c>
      <c r="E81" s="56" t="s">
        <v>216</v>
      </c>
      <c r="F81" s="56" t="s">
        <v>217</v>
      </c>
      <c r="G81" s="56" t="s">
        <v>48</v>
      </c>
      <c r="H81" s="56">
        <v>474</v>
      </c>
      <c r="I81" s="56">
        <v>3642</v>
      </c>
      <c r="J81" s="65">
        <v>6.3748241912798882</v>
      </c>
      <c r="K81" s="65">
        <v>6.1040787623066111</v>
      </c>
      <c r="L81" s="65">
        <v>6.5101969057665263</v>
      </c>
      <c r="M81" s="86">
        <v>6.5101969057665263</v>
      </c>
    </row>
    <row r="82" spans="1:13">
      <c r="A82" s="56" t="s">
        <v>209</v>
      </c>
      <c r="B82" s="56" t="s">
        <v>210</v>
      </c>
      <c r="C82" s="56" t="s">
        <v>218</v>
      </c>
      <c r="D82" s="56" t="str">
        <f>VLOOKUP(C82,'[2]From July 2022'!$D:$E,2,0)</f>
        <v>NHS BIRMINGHAM AND SOLIHULL INTEGRATED CARE BOARD</v>
      </c>
      <c r="E82" s="56" t="s">
        <v>219</v>
      </c>
      <c r="F82" s="56" t="s">
        <v>220</v>
      </c>
      <c r="G82" s="56" t="s">
        <v>88</v>
      </c>
      <c r="H82" s="56">
        <v>620</v>
      </c>
      <c r="I82" s="56">
        <v>4888</v>
      </c>
      <c r="J82" s="65">
        <v>6.3875448028673842</v>
      </c>
      <c r="K82" s="65">
        <v>6.278225806451613</v>
      </c>
      <c r="L82" s="65">
        <v>6.318548387096774</v>
      </c>
      <c r="M82" s="86">
        <v>6.5658602150537639</v>
      </c>
    </row>
    <row r="83" spans="1:13">
      <c r="A83" s="56" t="s">
        <v>209</v>
      </c>
      <c r="B83" s="56" t="s">
        <v>210</v>
      </c>
      <c r="C83" s="56" t="s">
        <v>218</v>
      </c>
      <c r="D83" s="56" t="str">
        <f>VLOOKUP(C83,'[2]From July 2022'!$D:$E,2,0)</f>
        <v>NHS BIRMINGHAM AND SOLIHULL INTEGRATED CARE BOARD</v>
      </c>
      <c r="E83" s="56" t="s">
        <v>221</v>
      </c>
      <c r="F83" s="56" t="s">
        <v>222</v>
      </c>
      <c r="G83" s="56" t="s">
        <v>72</v>
      </c>
      <c r="H83" s="56">
        <v>408</v>
      </c>
      <c r="I83" s="56">
        <v>1218</v>
      </c>
      <c r="J83" s="65">
        <v>7.0731394774686587</v>
      </c>
      <c r="K83" s="65">
        <v>7.6345381526104426</v>
      </c>
      <c r="L83" s="65">
        <v>6.6404358353510897</v>
      </c>
      <c r="M83" s="86">
        <v>6.9444444444444446</v>
      </c>
    </row>
    <row r="84" spans="1:13">
      <c r="A84" s="56" t="s">
        <v>209</v>
      </c>
      <c r="B84" s="56" t="s">
        <v>210</v>
      </c>
      <c r="C84" s="56" t="s">
        <v>218</v>
      </c>
      <c r="D84" s="56" t="str">
        <f>VLOOKUP(C84,'[2]From July 2022'!$D:$E,2,0)</f>
        <v>NHS BIRMINGHAM AND SOLIHULL INTEGRATED CARE BOARD</v>
      </c>
      <c r="E84" s="56" t="s">
        <v>223</v>
      </c>
      <c r="F84" s="56" t="s">
        <v>224</v>
      </c>
      <c r="G84" s="56" t="s">
        <v>48</v>
      </c>
      <c r="H84" s="56">
        <v>1907</v>
      </c>
      <c r="I84" s="56">
        <v>21568</v>
      </c>
      <c r="J84" s="65">
        <v>5.8044655779808139</v>
      </c>
      <c r="K84" s="65">
        <v>5.5943016955077791</v>
      </c>
      <c r="L84" s="65">
        <v>5.7525331935709296</v>
      </c>
      <c r="M84" s="86">
        <v>6.066561844863732</v>
      </c>
    </row>
    <row r="85" spans="1:13">
      <c r="A85" s="56" t="s">
        <v>209</v>
      </c>
      <c r="B85" s="56" t="s">
        <v>210</v>
      </c>
      <c r="C85" s="56" t="s">
        <v>225</v>
      </c>
      <c r="D85" s="56" t="str">
        <f>VLOOKUP(C85,'[2]From July 2022'!$D:$E,2,0)</f>
        <v>NHS DERBY AND DERBYSHIRE INTEGRATED CARE BOARD</v>
      </c>
      <c r="E85" s="56" t="s">
        <v>226</v>
      </c>
      <c r="F85" s="56" t="s">
        <v>227</v>
      </c>
      <c r="G85" s="56" t="s">
        <v>48</v>
      </c>
      <c r="H85" s="56">
        <v>44</v>
      </c>
      <c r="I85" s="56">
        <v>3968</v>
      </c>
      <c r="J85" s="65">
        <v>6.7297979797979792</v>
      </c>
      <c r="K85" s="65">
        <v>6.7613636363636367</v>
      </c>
      <c r="L85" s="65">
        <v>6.7234848484848477</v>
      </c>
      <c r="M85" s="86">
        <v>6.7045454545454541</v>
      </c>
    </row>
    <row r="86" spans="1:13">
      <c r="A86" s="56" t="s">
        <v>209</v>
      </c>
      <c r="B86" s="56" t="s">
        <v>210</v>
      </c>
      <c r="C86" s="56" t="s">
        <v>225</v>
      </c>
      <c r="D86" s="56" t="str">
        <f>VLOOKUP(C86,'[2]From July 2022'!$D:$E,2,0)</f>
        <v>NHS DERBY AND DERBYSHIRE INTEGRATED CARE BOARD</v>
      </c>
      <c r="E86" s="56" t="s">
        <v>228</v>
      </c>
      <c r="F86" s="56" t="s">
        <v>229</v>
      </c>
      <c r="G86" s="56" t="s">
        <v>88</v>
      </c>
      <c r="H86" s="56">
        <v>1422</v>
      </c>
      <c r="I86" s="56">
        <v>4235</v>
      </c>
      <c r="J86" s="65">
        <v>7.3915838046920932</v>
      </c>
      <c r="K86" s="65">
        <v>7.8053035589672017</v>
      </c>
      <c r="L86" s="65">
        <v>7.0434984880204707</v>
      </c>
      <c r="M86" s="86">
        <v>7.325949367088608</v>
      </c>
    </row>
    <row r="87" spans="1:13">
      <c r="A87" s="56" t="s">
        <v>209</v>
      </c>
      <c r="B87" s="56" t="s">
        <v>210</v>
      </c>
      <c r="C87" s="56" t="s">
        <v>225</v>
      </c>
      <c r="D87" s="56" t="str">
        <f>VLOOKUP(C87,'[2]From July 2022'!$D:$E,2,0)</f>
        <v>NHS DERBY AND DERBYSHIRE INTEGRATED CARE BOARD</v>
      </c>
      <c r="E87" s="56" t="s">
        <v>230</v>
      </c>
      <c r="F87" s="56" t="s">
        <v>231</v>
      </c>
      <c r="G87" s="56" t="s">
        <v>55</v>
      </c>
      <c r="H87" s="56">
        <v>828</v>
      </c>
      <c r="I87" s="56">
        <v>2839</v>
      </c>
      <c r="J87" s="65">
        <v>7.2513547513235634</v>
      </c>
      <c r="K87" s="65">
        <v>7.3657852564102564</v>
      </c>
      <c r="L87" s="65">
        <v>7.1197604790419158</v>
      </c>
      <c r="M87" s="86">
        <v>7.2685185185185182</v>
      </c>
    </row>
    <row r="88" spans="1:13">
      <c r="A88" s="56" t="s">
        <v>209</v>
      </c>
      <c r="B88" s="56" t="s">
        <v>210</v>
      </c>
      <c r="C88" s="56" t="s">
        <v>225</v>
      </c>
      <c r="D88" s="56" t="str">
        <f>VLOOKUP(C88,'[2]From July 2022'!$D:$E,2,0)</f>
        <v>NHS DERBY AND DERBYSHIRE INTEGRATED CARE BOARD</v>
      </c>
      <c r="E88" s="56" t="s">
        <v>232</v>
      </c>
      <c r="F88" s="56" t="s">
        <v>233</v>
      </c>
      <c r="G88" s="56" t="s">
        <v>48</v>
      </c>
      <c r="H88" s="56">
        <v>1817</v>
      </c>
      <c r="I88" s="56">
        <v>13473</v>
      </c>
      <c r="J88" s="65">
        <v>6.4188947093392139</v>
      </c>
      <c r="K88" s="65">
        <v>6.6341077085533264</v>
      </c>
      <c r="L88" s="65">
        <v>6.0470555861309849</v>
      </c>
      <c r="M88" s="86">
        <v>6.575520833333333</v>
      </c>
    </row>
    <row r="89" spans="1:13">
      <c r="A89" s="56" t="s">
        <v>209</v>
      </c>
      <c r="B89" s="56" t="s">
        <v>210</v>
      </c>
      <c r="C89" s="56" t="s">
        <v>234</v>
      </c>
      <c r="D89" s="56" t="str">
        <f>VLOOKUP(C89,'[2]From July 2022'!$D:$E,2,0)</f>
        <v>NHS LINCOLNSHIRE INTEGRATED CARE BOARD</v>
      </c>
      <c r="E89" s="56" t="s">
        <v>235</v>
      </c>
      <c r="F89" s="56" t="s">
        <v>236</v>
      </c>
      <c r="G89" s="56" t="s">
        <v>88</v>
      </c>
      <c r="H89" s="56">
        <v>809</v>
      </c>
      <c r="I89" s="56">
        <v>2245</v>
      </c>
      <c r="J89" s="65">
        <v>7.233709421144094</v>
      </c>
      <c r="K89" s="65">
        <v>7.4248042851256697</v>
      </c>
      <c r="L89" s="65">
        <v>6.9714459295261237</v>
      </c>
      <c r="M89" s="86">
        <v>7.3048780487804876</v>
      </c>
    </row>
    <row r="90" spans="1:13">
      <c r="A90" s="56" t="s">
        <v>209</v>
      </c>
      <c r="B90" s="56" t="s">
        <v>210</v>
      </c>
      <c r="C90" s="56" t="s">
        <v>234</v>
      </c>
      <c r="D90" s="56" t="str">
        <f>VLOOKUP(C90,'[2]From July 2022'!$D:$E,2,0)</f>
        <v>NHS LINCOLNSHIRE INTEGRATED CARE BOARD</v>
      </c>
      <c r="E90" s="56" t="s">
        <v>237</v>
      </c>
      <c r="F90" s="56" t="s">
        <v>238</v>
      </c>
      <c r="G90" s="56" t="s">
        <v>55</v>
      </c>
      <c r="H90" s="56">
        <v>844</v>
      </c>
      <c r="I90" s="56">
        <v>2351</v>
      </c>
      <c r="J90" s="65">
        <v>7.2093849919789266</v>
      </c>
      <c r="K90" s="65">
        <v>7.368680884676146</v>
      </c>
      <c r="L90" s="65">
        <v>7.0253286929621037</v>
      </c>
      <c r="M90" s="86">
        <v>7.23414539829853</v>
      </c>
    </row>
    <row r="91" spans="1:13">
      <c r="A91" s="56" t="s">
        <v>209</v>
      </c>
      <c r="B91" s="56" t="s">
        <v>210</v>
      </c>
      <c r="C91" s="56" t="s">
        <v>234</v>
      </c>
      <c r="D91" s="56" t="str">
        <f>VLOOKUP(C91,'[2]From July 2022'!$D:$E,2,0)</f>
        <v>NHS LINCOLNSHIRE INTEGRATED CARE BOARD</v>
      </c>
      <c r="E91" s="56" t="s">
        <v>239</v>
      </c>
      <c r="F91" s="56" t="s">
        <v>240</v>
      </c>
      <c r="G91" s="56" t="s">
        <v>48</v>
      </c>
      <c r="H91" s="56">
        <v>2141</v>
      </c>
      <c r="I91" s="56">
        <v>8389</v>
      </c>
      <c r="J91" s="65">
        <v>6.3670812543192659</v>
      </c>
      <c r="K91" s="65">
        <v>6.0956718044527483</v>
      </c>
      <c r="L91" s="65">
        <v>6.2066974595842952</v>
      </c>
      <c r="M91" s="86">
        <v>6.7988744989207524</v>
      </c>
    </row>
    <row r="92" spans="1:13">
      <c r="A92" s="56" t="s">
        <v>209</v>
      </c>
      <c r="B92" s="56" t="s">
        <v>210</v>
      </c>
      <c r="C92" s="56" t="s">
        <v>241</v>
      </c>
      <c r="D92" s="56" t="str">
        <f>VLOOKUP(C92,'[2]From July 2022'!$D:$E,2,0)</f>
        <v>NHS LEICESTER, LEICESTERSHIRE AND RUTLAND INTEGRATED CARE BOARD</v>
      </c>
      <c r="E92" s="56" t="s">
        <v>242</v>
      </c>
      <c r="F92" s="56" t="s">
        <v>243</v>
      </c>
      <c r="G92" s="56" t="s">
        <v>55</v>
      </c>
      <c r="H92" s="56">
        <v>904</v>
      </c>
      <c r="I92" s="56">
        <v>5558</v>
      </c>
      <c r="J92" s="65">
        <v>6.399643559488692</v>
      </c>
      <c r="K92" s="65">
        <v>6.132005899705014</v>
      </c>
      <c r="L92" s="65">
        <v>6.4159292035398234</v>
      </c>
      <c r="M92" s="86">
        <v>6.6509955752212386</v>
      </c>
    </row>
    <row r="93" spans="1:13">
      <c r="A93" s="56" t="s">
        <v>209</v>
      </c>
      <c r="B93" s="56" t="s">
        <v>210</v>
      </c>
      <c r="C93" s="56" t="s">
        <v>241</v>
      </c>
      <c r="D93" s="56" t="str">
        <f>VLOOKUP(C93,'[2]From July 2022'!$D:$E,2,0)</f>
        <v>NHS LEICESTER, LEICESTERSHIRE AND RUTLAND INTEGRATED CARE BOARD</v>
      </c>
      <c r="E93" s="56" t="s">
        <v>244</v>
      </c>
      <c r="F93" s="56" t="s">
        <v>245</v>
      </c>
      <c r="G93" s="56" t="s">
        <v>48</v>
      </c>
      <c r="H93" s="56">
        <v>49</v>
      </c>
      <c r="I93" s="56">
        <v>16152</v>
      </c>
      <c r="J93" s="65">
        <v>7.029478458049887</v>
      </c>
      <c r="K93" s="65">
        <v>7.2789115646258509</v>
      </c>
      <c r="L93" s="65">
        <v>6.462585034013606</v>
      </c>
      <c r="M93" s="86">
        <v>7.3469387755102042</v>
      </c>
    </row>
    <row r="94" spans="1:13">
      <c r="A94" s="56" t="s">
        <v>209</v>
      </c>
      <c r="B94" s="56" t="s">
        <v>210</v>
      </c>
      <c r="C94" s="56" t="s">
        <v>246</v>
      </c>
      <c r="D94" s="56" t="str">
        <f>VLOOKUP(C94,'[2]From July 2022'!$D:$E,2,0)</f>
        <v>NHS STAFFORDSHIRE AND STOKE-ON-TRENT INTEGRATED CARE BOARD</v>
      </c>
      <c r="E94" s="56" t="s">
        <v>247</v>
      </c>
      <c r="F94" s="56" t="s">
        <v>248</v>
      </c>
      <c r="G94" s="56" t="s">
        <v>55</v>
      </c>
      <c r="H94" s="56">
        <v>826</v>
      </c>
      <c r="I94" s="56">
        <v>9008</v>
      </c>
      <c r="J94" s="65">
        <v>7.4184381924768941</v>
      </c>
      <c r="K94" s="65">
        <v>7.5775896815800081</v>
      </c>
      <c r="L94" s="65">
        <v>7.3335351089588379</v>
      </c>
      <c r="M94" s="86">
        <v>7.3441897868918371</v>
      </c>
    </row>
    <row r="95" spans="1:13">
      <c r="A95" s="56" t="s">
        <v>209</v>
      </c>
      <c r="B95" s="56" t="s">
        <v>210</v>
      </c>
      <c r="C95" s="56" t="s">
        <v>249</v>
      </c>
      <c r="D95" s="56" t="str">
        <f>VLOOKUP(C95,'[2]From July 2022'!$D:$E,2,0)</f>
        <v>NHS SHROPSHIRE, TELFORD AND WREKIN INTEGRATED CARE BOARD</v>
      </c>
      <c r="E95" s="56" t="s">
        <v>250</v>
      </c>
      <c r="F95" s="56" t="s">
        <v>251</v>
      </c>
      <c r="G95" s="56" t="s">
        <v>88</v>
      </c>
      <c r="H95" s="56">
        <v>17</v>
      </c>
      <c r="I95" s="56">
        <v>1559</v>
      </c>
      <c r="J95" s="65">
        <v>6.0457516339869279</v>
      </c>
      <c r="K95" s="65">
        <v>6.3235294117647056</v>
      </c>
      <c r="L95" s="65">
        <v>6.1764705882352944</v>
      </c>
      <c r="M95" s="86">
        <v>5.6372549019607838</v>
      </c>
    </row>
    <row r="96" spans="1:13">
      <c r="A96" s="56" t="s">
        <v>209</v>
      </c>
      <c r="B96" s="56" t="s">
        <v>210</v>
      </c>
      <c r="C96" s="56" t="s">
        <v>249</v>
      </c>
      <c r="D96" s="56" t="str">
        <f>VLOOKUP(C96,'[2]From July 2022'!$D:$E,2,0)</f>
        <v>NHS SHROPSHIRE, TELFORD AND WREKIN INTEGRATED CARE BOARD</v>
      </c>
      <c r="E96" s="56" t="s">
        <v>252</v>
      </c>
      <c r="F96" s="56" t="s">
        <v>253</v>
      </c>
      <c r="G96" s="56" t="s">
        <v>72</v>
      </c>
      <c r="H96" s="56">
        <v>10</v>
      </c>
      <c r="I96" s="56">
        <v>1618</v>
      </c>
      <c r="J96" s="65">
        <v>5.6388888888888893</v>
      </c>
      <c r="K96" s="65">
        <v>6.75</v>
      </c>
      <c r="L96" s="65">
        <v>4.5833333333333339</v>
      </c>
      <c r="M96" s="86">
        <v>5.5833333333333339</v>
      </c>
    </row>
    <row r="97" spans="1:13">
      <c r="A97" s="56" t="s">
        <v>209</v>
      </c>
      <c r="B97" s="56" t="s">
        <v>210</v>
      </c>
      <c r="C97" s="56" t="s">
        <v>249</v>
      </c>
      <c r="D97" s="56" t="str">
        <f>VLOOKUP(C97,'[2]From July 2022'!$D:$E,2,0)</f>
        <v>NHS SHROPSHIRE, TELFORD AND WREKIN INTEGRATED CARE BOARD</v>
      </c>
      <c r="E97" s="56" t="s">
        <v>254</v>
      </c>
      <c r="F97" s="56" t="s">
        <v>255</v>
      </c>
      <c r="G97" s="56" t="s">
        <v>48</v>
      </c>
      <c r="H97" s="56">
        <v>1193</v>
      </c>
      <c r="I97" s="56">
        <v>6873</v>
      </c>
      <c r="J97" s="65">
        <v>6.0249604172487663</v>
      </c>
      <c r="K97" s="65">
        <v>5.4533389214864485</v>
      </c>
      <c r="L97" s="65">
        <v>6.0603520536462696</v>
      </c>
      <c r="M97" s="86">
        <v>6.561190276613579</v>
      </c>
    </row>
    <row r="98" spans="1:13">
      <c r="A98" s="56" t="s">
        <v>209</v>
      </c>
      <c r="B98" s="56" t="s">
        <v>210</v>
      </c>
      <c r="C98" s="56" t="s">
        <v>256</v>
      </c>
      <c r="D98" s="56" t="str">
        <f>VLOOKUP(C98,'[2]From July 2022'!$D:$E,2,0)</f>
        <v>NHS NORTHAMPTONSHIRE INTEGRATED CARE BOARD</v>
      </c>
      <c r="E98" s="56" t="s">
        <v>257</v>
      </c>
      <c r="F98" s="56" t="s">
        <v>258</v>
      </c>
      <c r="G98" s="56" t="s">
        <v>48</v>
      </c>
      <c r="H98" s="56">
        <v>1244</v>
      </c>
      <c r="I98" s="56">
        <v>4791</v>
      </c>
      <c r="J98" s="65">
        <v>6.2287214044559542</v>
      </c>
      <c r="K98" s="65">
        <v>6.168005354752343</v>
      </c>
      <c r="L98" s="65">
        <v>6.2051899411449973</v>
      </c>
      <c r="M98" s="86">
        <v>6.312968917470525</v>
      </c>
    </row>
    <row r="99" spans="1:13">
      <c r="A99" s="56" t="s">
        <v>209</v>
      </c>
      <c r="B99" s="56" t="s">
        <v>210</v>
      </c>
      <c r="C99" s="56" t="s">
        <v>256</v>
      </c>
      <c r="D99" s="56" t="str">
        <f>VLOOKUP(C99,'[2]From July 2022'!$D:$E,2,0)</f>
        <v>NHS NORTHAMPTONSHIRE INTEGRATED CARE BOARD</v>
      </c>
      <c r="E99" s="56" t="s">
        <v>259</v>
      </c>
      <c r="F99" s="56" t="s">
        <v>260</v>
      </c>
      <c r="G99" s="56" t="s">
        <v>48</v>
      </c>
      <c r="H99" s="56">
        <v>1213</v>
      </c>
      <c r="I99" s="56">
        <v>5584</v>
      </c>
      <c r="J99" s="65">
        <v>6.1649011256258204</v>
      </c>
      <c r="K99" s="65">
        <v>6.2235504259411929</v>
      </c>
      <c r="L99" s="65">
        <v>6.1079156395508081</v>
      </c>
      <c r="M99" s="86">
        <v>6.1632373113854593</v>
      </c>
    </row>
    <row r="100" spans="1:13">
      <c r="A100" s="56" t="s">
        <v>209</v>
      </c>
      <c r="B100" s="56" t="s">
        <v>210</v>
      </c>
      <c r="C100" s="56" t="s">
        <v>256</v>
      </c>
      <c r="D100" s="56" t="str">
        <f>VLOOKUP(C100,'[2]From July 2022'!$D:$E,2,0)</f>
        <v>NHS NORTHAMPTONSHIRE INTEGRATED CARE BOARD</v>
      </c>
      <c r="E100" s="56" t="s">
        <v>261</v>
      </c>
      <c r="F100" s="56" t="s">
        <v>262</v>
      </c>
      <c r="G100" s="56" t="s">
        <v>55</v>
      </c>
      <c r="H100" s="56">
        <v>1494</v>
      </c>
      <c r="I100" s="56">
        <v>4485</v>
      </c>
      <c r="J100" s="65">
        <v>7.3146656313507465</v>
      </c>
      <c r="K100" s="65">
        <v>7.555778670236502</v>
      </c>
      <c r="L100" s="65">
        <v>7.0731573157315735</v>
      </c>
      <c r="M100" s="86">
        <v>7.3150609080841633</v>
      </c>
    </row>
    <row r="101" spans="1:13">
      <c r="A101" s="56" t="s">
        <v>209</v>
      </c>
      <c r="B101" s="56" t="s">
        <v>210</v>
      </c>
      <c r="C101" s="56" t="s">
        <v>263</v>
      </c>
      <c r="D101" s="56" t="str">
        <f>VLOOKUP(C101,'[2]From July 2022'!$D:$E,2,0)</f>
        <v>NHS NOTTINGHAM AND NOTTINGHAMSHIRE INTEGRATED CARE BOARD</v>
      </c>
      <c r="E101" s="56" t="s">
        <v>264</v>
      </c>
      <c r="F101" s="56" t="s">
        <v>265</v>
      </c>
      <c r="G101" s="56" t="s">
        <v>178</v>
      </c>
      <c r="H101" s="56">
        <v>203</v>
      </c>
      <c r="I101" s="56">
        <v>3960</v>
      </c>
      <c r="J101" s="65">
        <v>5.3188286808976466</v>
      </c>
      <c r="K101" s="65">
        <v>5.4105090311986856</v>
      </c>
      <c r="L101" s="65">
        <v>4.8973727422003286</v>
      </c>
      <c r="M101" s="86">
        <v>5.6486042692939247</v>
      </c>
    </row>
    <row r="102" spans="1:13">
      <c r="A102" s="56" t="s">
        <v>209</v>
      </c>
      <c r="B102" s="56" t="s">
        <v>210</v>
      </c>
      <c r="C102" s="56" t="s">
        <v>263</v>
      </c>
      <c r="D102" s="56" t="str">
        <f>VLOOKUP(C102,'[2]From July 2022'!$D:$E,2,0)</f>
        <v>NHS NOTTINGHAM AND NOTTINGHAMSHIRE INTEGRATED CARE BOARD</v>
      </c>
      <c r="E102" s="56" t="s">
        <v>266</v>
      </c>
      <c r="F102" s="56" t="s">
        <v>267</v>
      </c>
      <c r="G102" s="56" t="s">
        <v>48</v>
      </c>
      <c r="H102" s="56">
        <v>2407</v>
      </c>
      <c r="I102" s="56">
        <v>17419</v>
      </c>
      <c r="J102" s="65">
        <v>6.3786179199556843</v>
      </c>
      <c r="K102" s="65">
        <v>6.2834095000692418</v>
      </c>
      <c r="L102" s="65">
        <v>6.3606148732862486</v>
      </c>
      <c r="M102" s="86">
        <v>6.4918293865115642</v>
      </c>
    </row>
    <row r="103" spans="1:13">
      <c r="A103" s="56" t="s">
        <v>209</v>
      </c>
      <c r="B103" s="56" t="s">
        <v>210</v>
      </c>
      <c r="C103" s="56" t="s">
        <v>263</v>
      </c>
      <c r="D103" s="56" t="str">
        <f>VLOOKUP(C103,'[2]From July 2022'!$D:$E,2,0)</f>
        <v>NHS NOTTINGHAM AND NOTTINGHAMSHIRE INTEGRATED CARE BOARD</v>
      </c>
      <c r="E103" s="56" t="s">
        <v>268</v>
      </c>
      <c r="F103" s="56" t="s">
        <v>269</v>
      </c>
      <c r="G103" s="56" t="s">
        <v>55</v>
      </c>
      <c r="H103" s="56">
        <v>716</v>
      </c>
      <c r="I103" s="56">
        <v>8875</v>
      </c>
      <c r="J103" s="65">
        <v>6.4481041254901141</v>
      </c>
      <c r="K103" s="65">
        <v>6.5386405959031659</v>
      </c>
      <c r="L103" s="65">
        <v>6.5074384007438395</v>
      </c>
      <c r="M103" s="86">
        <v>6.2982333798233379</v>
      </c>
    </row>
    <row r="104" spans="1:13">
      <c r="A104" s="56" t="s">
        <v>209</v>
      </c>
      <c r="B104" s="56" t="s">
        <v>210</v>
      </c>
      <c r="C104" s="56" t="s">
        <v>263</v>
      </c>
      <c r="D104" s="56" t="str">
        <f>VLOOKUP(C104,'[2]From July 2022'!$D:$E,2,0)</f>
        <v>NHS NOTTINGHAM AND NOTTINGHAMSHIRE INTEGRATED CARE BOARD</v>
      </c>
      <c r="E104" s="56" t="s">
        <v>270</v>
      </c>
      <c r="F104" s="56" t="s">
        <v>271</v>
      </c>
      <c r="G104" s="56" t="s">
        <v>48</v>
      </c>
      <c r="H104" s="56">
        <v>1302</v>
      </c>
      <c r="I104" s="56">
        <v>5618</v>
      </c>
      <c r="J104" s="65">
        <v>7.0959098980384283</v>
      </c>
      <c r="K104" s="65">
        <v>7.6366641240783109</v>
      </c>
      <c r="L104" s="65">
        <v>6.7447516641065022</v>
      </c>
      <c r="M104" s="86">
        <v>6.906313905930471</v>
      </c>
    </row>
    <row r="105" spans="1:13">
      <c r="A105" s="56" t="s">
        <v>209</v>
      </c>
      <c r="B105" s="56" t="s">
        <v>210</v>
      </c>
      <c r="C105" s="56" t="s">
        <v>272</v>
      </c>
      <c r="D105" s="56" t="str">
        <f>VLOOKUP(C105,'[2]From July 2022'!$D:$E,2,0)</f>
        <v>NHS BLACK COUNTRY INTEGRATED CARE BOARD</v>
      </c>
      <c r="E105" s="56" t="s">
        <v>273</v>
      </c>
      <c r="F105" s="56" t="s">
        <v>274</v>
      </c>
      <c r="G105" s="56" t="s">
        <v>55</v>
      </c>
      <c r="H105" s="56">
        <v>316</v>
      </c>
      <c r="I105" s="56">
        <v>4438</v>
      </c>
      <c r="J105" s="65">
        <v>6.0407876230661044</v>
      </c>
      <c r="K105" s="65">
        <v>5.7885021097046412</v>
      </c>
      <c r="L105" s="65">
        <v>5.9704641350210972</v>
      </c>
      <c r="M105" s="86">
        <v>6.3633966244725739</v>
      </c>
    </row>
    <row r="106" spans="1:13">
      <c r="A106" s="56" t="s">
        <v>209</v>
      </c>
      <c r="B106" s="56" t="s">
        <v>210</v>
      </c>
      <c r="C106" s="56" t="s">
        <v>272</v>
      </c>
      <c r="D106" s="56" t="str">
        <f>VLOOKUP(C106,'[2]From July 2022'!$D:$E,2,0)</f>
        <v>NHS BLACK COUNTRY INTEGRATED CARE BOARD</v>
      </c>
      <c r="E106" s="56" t="s">
        <v>275</v>
      </c>
      <c r="F106" s="56" t="s">
        <v>276</v>
      </c>
      <c r="G106" s="56" t="s">
        <v>55</v>
      </c>
      <c r="H106" s="56">
        <v>508</v>
      </c>
      <c r="I106" s="56">
        <v>3621</v>
      </c>
      <c r="J106" s="65">
        <v>6.3194444444444455</v>
      </c>
      <c r="K106" s="65">
        <v>6.215551181102362</v>
      </c>
      <c r="L106" s="65">
        <v>6.2352362204724407</v>
      </c>
      <c r="M106" s="86">
        <v>6.5075459317585302</v>
      </c>
    </row>
    <row r="107" spans="1:13">
      <c r="A107" s="56" t="s">
        <v>209</v>
      </c>
      <c r="B107" s="56" t="s">
        <v>210</v>
      </c>
      <c r="C107" s="56" t="s">
        <v>272</v>
      </c>
      <c r="D107" s="56" t="str">
        <f>VLOOKUP(C107,'[2]From July 2022'!$D:$E,2,0)</f>
        <v>NHS BLACK COUNTRY INTEGRATED CARE BOARD</v>
      </c>
      <c r="E107" s="56" t="s">
        <v>277</v>
      </c>
      <c r="F107" s="56" t="s">
        <v>278</v>
      </c>
      <c r="G107" s="56" t="s">
        <v>48</v>
      </c>
      <c r="H107" s="56">
        <v>61</v>
      </c>
      <c r="I107" s="56">
        <v>401</v>
      </c>
      <c r="J107" s="65">
        <v>6.7987249544626591</v>
      </c>
      <c r="K107" s="65">
        <v>6.9808743169398904</v>
      </c>
      <c r="L107" s="65">
        <v>6.4890710382513657</v>
      </c>
      <c r="M107" s="86">
        <v>6.9262295081967213</v>
      </c>
    </row>
    <row r="108" spans="1:13">
      <c r="A108" s="56" t="s">
        <v>209</v>
      </c>
      <c r="B108" s="56" t="s">
        <v>210</v>
      </c>
      <c r="C108" s="56" t="s">
        <v>272</v>
      </c>
      <c r="D108" s="56" t="str">
        <f>VLOOKUP(C108,'[2]From July 2022'!$D:$E,2,0)</f>
        <v>NHS BLACK COUNTRY INTEGRATED CARE BOARD</v>
      </c>
      <c r="E108" s="56" t="s">
        <v>279</v>
      </c>
      <c r="F108" s="56" t="s">
        <v>280</v>
      </c>
      <c r="G108" s="56" t="s">
        <v>48</v>
      </c>
      <c r="H108" s="56">
        <v>1554</v>
      </c>
      <c r="I108" s="56">
        <v>7301</v>
      </c>
      <c r="J108" s="65">
        <v>6.6167515865839048</v>
      </c>
      <c r="K108" s="65">
        <v>6.4876119092234017</v>
      </c>
      <c r="L108" s="65">
        <v>6.4605621984476613</v>
      </c>
      <c r="M108" s="86">
        <v>6.9020806520806524</v>
      </c>
    </row>
    <row r="109" spans="1:13">
      <c r="A109" s="56" t="s">
        <v>209</v>
      </c>
      <c r="B109" s="56" t="s">
        <v>210</v>
      </c>
      <c r="C109" s="56" t="s">
        <v>272</v>
      </c>
      <c r="D109" s="56" t="str">
        <f>VLOOKUP(C109,'[2]From July 2022'!$D:$E,2,0)</f>
        <v>NHS BLACK COUNTRY INTEGRATED CARE BOARD</v>
      </c>
      <c r="E109" s="56" t="s">
        <v>281</v>
      </c>
      <c r="F109" s="56" t="s">
        <v>282</v>
      </c>
      <c r="G109" s="56" t="s">
        <v>48</v>
      </c>
      <c r="H109" s="56">
        <v>360</v>
      </c>
      <c r="I109" s="56">
        <v>5467</v>
      </c>
      <c r="J109" s="65">
        <v>6.435185185185186</v>
      </c>
      <c r="K109" s="65">
        <v>6.3055555555555554</v>
      </c>
      <c r="L109" s="65">
        <v>6.4629629629629628</v>
      </c>
      <c r="M109" s="86">
        <v>6.5370370370370372</v>
      </c>
    </row>
    <row r="110" spans="1:13">
      <c r="A110" s="56" t="s">
        <v>209</v>
      </c>
      <c r="B110" s="56" t="s">
        <v>210</v>
      </c>
      <c r="C110" s="56" t="s">
        <v>272</v>
      </c>
      <c r="D110" s="56" t="str">
        <f>VLOOKUP(C110,'[2]From July 2022'!$D:$E,2,0)</f>
        <v>NHS BLACK COUNTRY INTEGRATED CARE BOARD</v>
      </c>
      <c r="E110" s="56" t="s">
        <v>283</v>
      </c>
      <c r="F110" s="56" t="s">
        <v>284</v>
      </c>
      <c r="G110" s="56" t="s">
        <v>48</v>
      </c>
      <c r="H110" s="56">
        <v>204</v>
      </c>
      <c r="I110" s="56">
        <v>10270</v>
      </c>
      <c r="J110" s="65">
        <v>6.7088779956427018</v>
      </c>
      <c r="K110" s="65">
        <v>6.9893790849673199</v>
      </c>
      <c r="L110" s="65">
        <v>6.5359477124183005</v>
      </c>
      <c r="M110" s="86">
        <v>6.6013071895424842</v>
      </c>
    </row>
    <row r="111" spans="1:13">
      <c r="A111" s="56" t="s">
        <v>209</v>
      </c>
      <c r="B111" s="56" t="s">
        <v>210</v>
      </c>
      <c r="C111" s="56" t="s">
        <v>272</v>
      </c>
      <c r="D111" s="56" t="str">
        <f>VLOOKUP(C111,'[2]From July 2022'!$D:$E,2,0)</f>
        <v>NHS BLACK COUNTRY INTEGRATED CARE BOARD</v>
      </c>
      <c r="E111" s="56" t="s">
        <v>285</v>
      </c>
      <c r="F111" s="56" t="s">
        <v>286</v>
      </c>
      <c r="G111" s="56" t="s">
        <v>48</v>
      </c>
      <c r="H111" s="56">
        <v>853</v>
      </c>
      <c r="I111" s="56">
        <v>4595</v>
      </c>
      <c r="J111" s="65">
        <v>6.21987755633711</v>
      </c>
      <c r="K111" s="65">
        <v>6.1283704572098472</v>
      </c>
      <c r="L111" s="65">
        <v>6.174286830793279</v>
      </c>
      <c r="M111" s="86">
        <v>6.3569753810082066</v>
      </c>
    </row>
    <row r="112" spans="1:13">
      <c r="A112" s="56" t="s">
        <v>209</v>
      </c>
      <c r="B112" s="56" t="s">
        <v>210</v>
      </c>
      <c r="C112" s="56" t="s">
        <v>287</v>
      </c>
      <c r="D112" s="56" t="str">
        <f>VLOOKUP(C112,'[2]From July 2022'!$D:$E,2,0)</f>
        <v>NHS COVENTRY AND WARWICKSHIRE INTEGRATED CARE BOARD</v>
      </c>
      <c r="E112" s="56" t="s">
        <v>288</v>
      </c>
      <c r="F112" s="56" t="s">
        <v>289</v>
      </c>
      <c r="G112" s="56" t="s">
        <v>55</v>
      </c>
      <c r="H112" s="56">
        <v>176</v>
      </c>
      <c r="I112" s="56">
        <v>3972</v>
      </c>
      <c r="J112" s="65">
        <v>6.5356691919191912</v>
      </c>
      <c r="K112" s="65">
        <v>6.4393939393939386</v>
      </c>
      <c r="L112" s="65">
        <v>6.4109848484848477</v>
      </c>
      <c r="M112" s="86">
        <v>6.7566287878787881</v>
      </c>
    </row>
    <row r="113" spans="1:13">
      <c r="A113" s="56" t="s">
        <v>209</v>
      </c>
      <c r="B113" s="56" t="s">
        <v>210</v>
      </c>
      <c r="C113" s="56" t="s">
        <v>287</v>
      </c>
      <c r="D113" s="56" t="str">
        <f>VLOOKUP(C113,'[2]From July 2022'!$D:$E,2,0)</f>
        <v>NHS COVENTRY AND WARWICKSHIRE INTEGRATED CARE BOARD</v>
      </c>
      <c r="E113" s="56" t="s">
        <v>290</v>
      </c>
      <c r="F113" s="56" t="s">
        <v>291</v>
      </c>
      <c r="G113" s="56" t="s">
        <v>48</v>
      </c>
      <c r="H113" s="56">
        <v>318</v>
      </c>
      <c r="I113" s="56">
        <v>2659</v>
      </c>
      <c r="J113" s="65">
        <v>6.2386443046820403</v>
      </c>
      <c r="K113" s="65">
        <v>6.25</v>
      </c>
      <c r="L113" s="65">
        <v>6.2080712788259964</v>
      </c>
      <c r="M113" s="86">
        <v>6.2578616352201255</v>
      </c>
    </row>
    <row r="114" spans="1:13">
      <c r="A114" s="56" t="s">
        <v>209</v>
      </c>
      <c r="B114" s="56" t="s">
        <v>210</v>
      </c>
      <c r="C114" s="56" t="s">
        <v>287</v>
      </c>
      <c r="D114" s="56" t="str">
        <f>VLOOKUP(C114,'[2]From July 2022'!$D:$E,2,0)</f>
        <v>NHS COVENTRY AND WARWICKSHIRE INTEGRATED CARE BOARD</v>
      </c>
      <c r="E114" s="56" t="s">
        <v>292</v>
      </c>
      <c r="F114" s="56" t="s">
        <v>293</v>
      </c>
      <c r="G114" s="56" t="s">
        <v>48</v>
      </c>
      <c r="H114" s="56">
        <v>222</v>
      </c>
      <c r="I114" s="56">
        <v>4891</v>
      </c>
      <c r="J114" s="65">
        <v>6.786786786786787</v>
      </c>
      <c r="K114" s="65">
        <v>7.1546546546546539</v>
      </c>
      <c r="L114" s="65">
        <v>6.4527027027027026</v>
      </c>
      <c r="M114" s="86">
        <v>6.7530030030030037</v>
      </c>
    </row>
    <row r="115" spans="1:13">
      <c r="A115" s="56" t="s">
        <v>209</v>
      </c>
      <c r="B115" s="56" t="s">
        <v>210</v>
      </c>
      <c r="C115" s="56" t="s">
        <v>287</v>
      </c>
      <c r="D115" s="56" t="str">
        <f>VLOOKUP(C115,'[2]From July 2022'!$D:$E,2,0)</f>
        <v>NHS COVENTRY AND WARWICKSHIRE INTEGRATED CARE BOARD</v>
      </c>
      <c r="E115" s="56" t="s">
        <v>294</v>
      </c>
      <c r="F115" s="56" t="s">
        <v>295</v>
      </c>
      <c r="G115" s="56" t="s">
        <v>48</v>
      </c>
      <c r="H115" s="56">
        <v>77</v>
      </c>
      <c r="I115" s="56">
        <v>9237</v>
      </c>
      <c r="J115" s="65">
        <v>6.0137085137085142</v>
      </c>
      <c r="K115" s="65">
        <v>6.1255411255411261</v>
      </c>
      <c r="L115" s="65">
        <v>5.8225108225108224</v>
      </c>
      <c r="M115" s="86">
        <v>6.0930735930735933</v>
      </c>
    </row>
    <row r="116" spans="1:13">
      <c r="A116" s="56" t="s">
        <v>296</v>
      </c>
      <c r="B116" s="56" t="s">
        <v>297</v>
      </c>
      <c r="C116" s="56" t="s">
        <v>298</v>
      </c>
      <c r="D116" s="56" t="str">
        <f>VLOOKUP(C116,'[2]From July 2022'!$D:$E,2,0)</f>
        <v>NHS MID AND SOUTH ESSEX INTEGRATED CARE BOARD</v>
      </c>
      <c r="E116" s="56" t="s">
        <v>299</v>
      </c>
      <c r="F116" s="56" t="s">
        <v>300</v>
      </c>
      <c r="G116" s="56" t="s">
        <v>55</v>
      </c>
      <c r="H116" s="56">
        <v>449</v>
      </c>
      <c r="I116" s="56">
        <v>5894</v>
      </c>
      <c r="J116" s="65">
        <v>6.442712199950507</v>
      </c>
      <c r="K116" s="65">
        <v>6.3882702301410541</v>
      </c>
      <c r="L116" s="65">
        <v>6.3994060876020793</v>
      </c>
      <c r="M116" s="86">
        <v>6.5404602821083886</v>
      </c>
    </row>
    <row r="117" spans="1:13">
      <c r="A117" s="56" t="s">
        <v>296</v>
      </c>
      <c r="B117" s="56" t="s">
        <v>297</v>
      </c>
      <c r="C117" s="56" t="s">
        <v>301</v>
      </c>
      <c r="D117" s="56" t="str">
        <f>VLOOKUP(C117,'[2]From July 2022'!$D:$E,2,0)</f>
        <v>NHS BEDFORDSHIRE, LUTON AND MILTON KEYNES INTEGRATED CARE BOARD</v>
      </c>
      <c r="E117" s="56" t="s">
        <v>302</v>
      </c>
      <c r="F117" s="56" t="s">
        <v>303</v>
      </c>
      <c r="G117" s="56" t="s">
        <v>48</v>
      </c>
      <c r="H117" s="56">
        <v>162</v>
      </c>
      <c r="I117" s="56">
        <v>3805</v>
      </c>
      <c r="J117" s="65">
        <v>6.2019890260630994</v>
      </c>
      <c r="K117" s="65">
        <v>6.1882716049382713</v>
      </c>
      <c r="L117" s="65">
        <v>6.0956790123456788</v>
      </c>
      <c r="M117" s="86">
        <v>6.32201646090535</v>
      </c>
    </row>
    <row r="118" spans="1:13">
      <c r="A118" s="56" t="s">
        <v>296</v>
      </c>
      <c r="B118" s="56" t="s">
        <v>297</v>
      </c>
      <c r="C118" s="56" t="s">
        <v>304</v>
      </c>
      <c r="D118" s="56" t="str">
        <f>VLOOKUP(C118,'[2]From July 2022'!$D:$E,2,0)</f>
        <v>NHS SUFFOLK AND NORTH EAST ESSEX INTEGRATED CARE BOARD</v>
      </c>
      <c r="E118" s="56" t="s">
        <v>305</v>
      </c>
      <c r="F118" s="56" t="s">
        <v>306</v>
      </c>
      <c r="G118" s="56" t="s">
        <v>48</v>
      </c>
      <c r="H118" s="56">
        <v>47</v>
      </c>
      <c r="I118" s="56">
        <v>11162</v>
      </c>
      <c r="J118" s="65">
        <v>5.7328605200945626</v>
      </c>
      <c r="K118" s="65">
        <v>5.4432624113475176</v>
      </c>
      <c r="L118" s="65">
        <v>5.9397163120567376</v>
      </c>
      <c r="M118" s="86">
        <v>5.8156028368794326</v>
      </c>
    </row>
    <row r="119" spans="1:13">
      <c r="A119" s="56" t="s">
        <v>296</v>
      </c>
      <c r="B119" s="56" t="s">
        <v>297</v>
      </c>
      <c r="C119" s="56" t="s">
        <v>304</v>
      </c>
      <c r="D119" s="56" t="str">
        <f>VLOOKUP(C119,'[2]From July 2022'!$D:$E,2,0)</f>
        <v>NHS SUFFOLK AND NORTH EAST ESSEX INTEGRATED CARE BOARD</v>
      </c>
      <c r="E119" s="56" t="s">
        <v>307</v>
      </c>
      <c r="F119" s="56" t="s">
        <v>308</v>
      </c>
      <c r="G119" s="56" t="s">
        <v>48</v>
      </c>
      <c r="H119" s="56">
        <v>1321</v>
      </c>
      <c r="I119" s="56">
        <v>4779</v>
      </c>
      <c r="J119" s="65">
        <v>6.9459679610457927</v>
      </c>
      <c r="K119" s="65">
        <v>7.0546303305576581</v>
      </c>
      <c r="L119" s="65">
        <v>6.753824931025834</v>
      </c>
      <c r="M119" s="86">
        <v>7.0294486215538843</v>
      </c>
    </row>
    <row r="120" spans="1:13">
      <c r="A120" s="56" t="s">
        <v>296</v>
      </c>
      <c r="B120" s="56" t="s">
        <v>297</v>
      </c>
      <c r="C120" s="56" t="s">
        <v>309</v>
      </c>
      <c r="D120" s="56" t="str">
        <f>VLOOKUP(C120,'[2]From July 2022'!$D:$E,2,0)</f>
        <v>NHS HERTFORDSHIRE AND WEST ESSEX INTEGRATED CARE BOARD</v>
      </c>
      <c r="E120" s="56" t="s">
        <v>310</v>
      </c>
      <c r="F120" s="56" t="s">
        <v>311</v>
      </c>
      <c r="G120" s="56" t="s">
        <v>48</v>
      </c>
      <c r="H120" s="56">
        <v>120</v>
      </c>
      <c r="I120" s="56">
        <v>6324</v>
      </c>
      <c r="J120" s="65">
        <v>6.208333333333333</v>
      </c>
      <c r="K120" s="65">
        <v>5.9097222222222223</v>
      </c>
      <c r="L120" s="65">
        <v>6.354166666666667</v>
      </c>
      <c r="M120" s="86">
        <v>6.3611111111111116</v>
      </c>
    </row>
    <row r="121" spans="1:13">
      <c r="A121" s="56" t="s">
        <v>296</v>
      </c>
      <c r="B121" s="56" t="s">
        <v>297</v>
      </c>
      <c r="C121" s="56" t="s">
        <v>309</v>
      </c>
      <c r="D121" s="56" t="str">
        <f>VLOOKUP(C121,'[2]From July 2022'!$D:$E,2,0)</f>
        <v>NHS HERTFORDSHIRE AND WEST ESSEX INTEGRATED CARE BOARD</v>
      </c>
      <c r="E121" s="56" t="s">
        <v>312</v>
      </c>
      <c r="F121" s="56" t="s">
        <v>313</v>
      </c>
      <c r="G121" s="56" t="s">
        <v>88</v>
      </c>
      <c r="H121" s="56">
        <v>117</v>
      </c>
      <c r="I121" s="56">
        <v>2680</v>
      </c>
      <c r="J121" s="65">
        <v>6.7331433998100669</v>
      </c>
      <c r="K121" s="65">
        <v>6.7307692307692308</v>
      </c>
      <c r="L121" s="65">
        <v>6.5811965811965809</v>
      </c>
      <c r="M121" s="86">
        <v>6.8874643874643882</v>
      </c>
    </row>
    <row r="122" spans="1:13">
      <c r="A122" s="56" t="s">
        <v>296</v>
      </c>
      <c r="B122" s="56" t="s">
        <v>297</v>
      </c>
      <c r="C122" s="56" t="s">
        <v>309</v>
      </c>
      <c r="D122" s="56" t="str">
        <f>VLOOKUP(C122,'[2]From July 2022'!$D:$E,2,0)</f>
        <v>NHS HERTFORDSHIRE AND WEST ESSEX INTEGRATED CARE BOARD</v>
      </c>
      <c r="E122" s="56" t="s">
        <v>314</v>
      </c>
      <c r="F122" s="56" t="s">
        <v>315</v>
      </c>
      <c r="G122" s="56" t="s">
        <v>55</v>
      </c>
      <c r="H122" s="56">
        <v>646</v>
      </c>
      <c r="I122" s="56">
        <v>3659</v>
      </c>
      <c r="J122" s="65">
        <v>7.2474260928609624</v>
      </c>
      <c r="K122" s="65">
        <v>7.4948717948717958</v>
      </c>
      <c r="L122" s="65">
        <v>6.9930340557275539</v>
      </c>
      <c r="M122" s="86">
        <v>7.2543724279835384</v>
      </c>
    </row>
    <row r="123" spans="1:13">
      <c r="A123" s="56" t="s">
        <v>296</v>
      </c>
      <c r="B123" s="56" t="s">
        <v>297</v>
      </c>
      <c r="C123" s="56" t="s">
        <v>309</v>
      </c>
      <c r="D123" s="56" t="str">
        <f>VLOOKUP(C123,'[2]From July 2022'!$D:$E,2,0)</f>
        <v>NHS HERTFORDSHIRE AND WEST ESSEX INTEGRATED CARE BOARD</v>
      </c>
      <c r="E123" s="56" t="s">
        <v>316</v>
      </c>
      <c r="F123" s="56" t="s">
        <v>317</v>
      </c>
      <c r="G123" s="56" t="s">
        <v>48</v>
      </c>
      <c r="H123" s="56">
        <v>267</v>
      </c>
      <c r="I123" s="56">
        <v>3739</v>
      </c>
      <c r="J123" s="65">
        <v>6.1548064918851439</v>
      </c>
      <c r="K123" s="65">
        <v>5.4868913857677901</v>
      </c>
      <c r="L123" s="65">
        <v>6.4076154806491878</v>
      </c>
      <c r="M123" s="86">
        <v>6.5699126092384521</v>
      </c>
    </row>
    <row r="124" spans="1:13">
      <c r="A124" s="56" t="s">
        <v>296</v>
      </c>
      <c r="B124" s="56" t="s">
        <v>297</v>
      </c>
      <c r="C124" s="56" t="s">
        <v>309</v>
      </c>
      <c r="D124" s="56" t="str">
        <f>VLOOKUP(C124,'[2]From July 2022'!$D:$E,2,0)</f>
        <v>NHS HERTFORDSHIRE AND WEST ESSEX INTEGRATED CARE BOARD</v>
      </c>
      <c r="E124" s="56" t="s">
        <v>318</v>
      </c>
      <c r="F124" s="56" t="s">
        <v>319</v>
      </c>
      <c r="G124" s="56" t="s">
        <v>48</v>
      </c>
      <c r="H124" s="56">
        <v>645</v>
      </c>
      <c r="I124" s="56">
        <v>5221</v>
      </c>
      <c r="J124" s="65">
        <v>6.0288544358311809</v>
      </c>
      <c r="K124" s="65">
        <v>5.7416020671834627</v>
      </c>
      <c r="L124" s="65">
        <v>5.9547803617571065</v>
      </c>
      <c r="M124" s="86">
        <v>6.3901808785529717</v>
      </c>
    </row>
    <row r="125" spans="1:13">
      <c r="A125" s="56" t="s">
        <v>296</v>
      </c>
      <c r="B125" s="56" t="s">
        <v>297</v>
      </c>
      <c r="C125" s="56" t="s">
        <v>320</v>
      </c>
      <c r="D125" s="56" t="str">
        <f>VLOOKUP(C125,'[2]From July 2022'!$D:$E,2,0)</f>
        <v>NHS NORFOLK AND WAVENEY INTEGRATED CARE BOARD</v>
      </c>
      <c r="E125" s="56" t="s">
        <v>321</v>
      </c>
      <c r="F125" s="56" t="s">
        <v>322</v>
      </c>
      <c r="G125" s="56" t="s">
        <v>48</v>
      </c>
      <c r="H125" s="56">
        <v>186</v>
      </c>
      <c r="I125" s="56">
        <v>8926</v>
      </c>
      <c r="J125" s="65">
        <v>5.4256272401433705</v>
      </c>
      <c r="K125" s="65">
        <v>4.8431899641577063</v>
      </c>
      <c r="L125" s="65">
        <v>5.470430107526882</v>
      </c>
      <c r="M125" s="86">
        <v>5.9632616487455206</v>
      </c>
    </row>
    <row r="126" spans="1:13">
      <c r="A126" s="56" t="s">
        <v>296</v>
      </c>
      <c r="B126" s="56" t="s">
        <v>297</v>
      </c>
      <c r="C126" s="56" t="s">
        <v>320</v>
      </c>
      <c r="D126" s="56" t="str">
        <f>VLOOKUP(C126,'[2]From July 2022'!$D:$E,2,0)</f>
        <v>NHS NORFOLK AND WAVENEY INTEGRATED CARE BOARD</v>
      </c>
      <c r="E126" s="56" t="s">
        <v>323</v>
      </c>
      <c r="F126" s="56" t="s">
        <v>324</v>
      </c>
      <c r="G126" s="56" t="s">
        <v>55</v>
      </c>
      <c r="H126" s="56">
        <v>1083</v>
      </c>
      <c r="I126" s="56">
        <v>4681</v>
      </c>
      <c r="J126" s="65">
        <v>6.5228835537152712</v>
      </c>
      <c r="K126" s="65">
        <v>6.0026161895967984</v>
      </c>
      <c r="L126" s="65">
        <v>6.7020795660036168</v>
      </c>
      <c r="M126" s="86">
        <v>6.8639549055453992</v>
      </c>
    </row>
    <row r="127" spans="1:13">
      <c r="A127" s="56" t="s">
        <v>296</v>
      </c>
      <c r="B127" s="56" t="s">
        <v>297</v>
      </c>
      <c r="C127" s="56" t="s">
        <v>320</v>
      </c>
      <c r="D127" s="56" t="str">
        <f>VLOOKUP(C127,'[2]From July 2022'!$D:$E,2,0)</f>
        <v>NHS NORFOLK AND WAVENEY INTEGRATED CARE BOARD</v>
      </c>
      <c r="E127" s="56" t="s">
        <v>325</v>
      </c>
      <c r="F127" s="56" t="s">
        <v>326</v>
      </c>
      <c r="G127" s="56" t="s">
        <v>88</v>
      </c>
      <c r="H127" s="56">
        <v>276</v>
      </c>
      <c r="I127" s="56">
        <v>2363</v>
      </c>
      <c r="J127" s="65">
        <v>7.0923913043478253</v>
      </c>
      <c r="K127" s="65">
        <v>7.2644927536231885</v>
      </c>
      <c r="L127" s="65">
        <v>6.9172705314009661</v>
      </c>
      <c r="M127" s="86">
        <v>7.095410628019323</v>
      </c>
    </row>
    <row r="128" spans="1:13">
      <c r="A128" s="56" t="s">
        <v>296</v>
      </c>
      <c r="B128" s="56" t="s">
        <v>297</v>
      </c>
      <c r="C128" s="56" t="s">
        <v>320</v>
      </c>
      <c r="D128" s="56" t="str">
        <f>VLOOKUP(C128,'[2]From July 2022'!$D:$E,2,0)</f>
        <v>NHS NORFOLK AND WAVENEY INTEGRATED CARE BOARD</v>
      </c>
      <c r="E128" s="56" t="s">
        <v>327</v>
      </c>
      <c r="F128" s="56" t="s">
        <v>328</v>
      </c>
      <c r="G128" s="56" t="s">
        <v>48</v>
      </c>
      <c r="H128" s="56">
        <v>406</v>
      </c>
      <c r="I128" s="56">
        <v>3741</v>
      </c>
      <c r="J128" s="65">
        <v>5.8223864258347007</v>
      </c>
      <c r="K128" s="65">
        <v>5.1990968801313633</v>
      </c>
      <c r="L128" s="65">
        <v>5.8415435139573066</v>
      </c>
      <c r="M128" s="86">
        <v>6.4265188834154348</v>
      </c>
    </row>
    <row r="129" spans="1:13">
      <c r="A129" s="56" t="s">
        <v>296</v>
      </c>
      <c r="B129" s="56" t="s">
        <v>297</v>
      </c>
      <c r="C129" s="56" t="s">
        <v>329</v>
      </c>
      <c r="D129" s="56" t="str">
        <f>VLOOKUP(C129,'[2]From July 2022'!$D:$E,2,0)</f>
        <v>NHS CAMBRIDGESHIRE AND PETERBOROUGH INTEGRATED CARE BOARD</v>
      </c>
      <c r="E129" s="56" t="s">
        <v>330</v>
      </c>
      <c r="F129" s="56" t="s">
        <v>331</v>
      </c>
      <c r="G129" s="56" t="s">
        <v>48</v>
      </c>
      <c r="H129" s="56">
        <v>3724</v>
      </c>
      <c r="I129" s="56">
        <v>11468</v>
      </c>
      <c r="J129" s="65">
        <v>6.8465207532191812</v>
      </c>
      <c r="K129" s="65">
        <v>7.3111349803079131</v>
      </c>
      <c r="L129" s="65">
        <v>6.3430356193514088</v>
      </c>
      <c r="M129" s="86">
        <v>6.8853916599982217</v>
      </c>
    </row>
    <row r="130" spans="1:13">
      <c r="A130" s="56" t="s">
        <v>296</v>
      </c>
      <c r="B130" s="56" t="s">
        <v>297</v>
      </c>
      <c r="C130" s="56" t="s">
        <v>329</v>
      </c>
      <c r="D130" s="56" t="str">
        <f>VLOOKUP(C130,'[2]From July 2022'!$D:$E,2,0)</f>
        <v>NHS CAMBRIDGESHIRE AND PETERBOROUGH INTEGRATED CARE BOARD</v>
      </c>
      <c r="E130" s="56" t="s">
        <v>332</v>
      </c>
      <c r="F130" s="56" t="s">
        <v>333</v>
      </c>
      <c r="G130" s="56" t="s">
        <v>55</v>
      </c>
      <c r="H130" s="56">
        <v>2275</v>
      </c>
      <c r="I130" s="56">
        <v>4368</v>
      </c>
      <c r="J130" s="65">
        <v>7.2857142857142856</v>
      </c>
      <c r="K130" s="65">
        <v>7.3571428571428568</v>
      </c>
      <c r="L130" s="65">
        <v>7.1681318681318684</v>
      </c>
      <c r="M130" s="86">
        <v>7.3318681318681316</v>
      </c>
    </row>
    <row r="131" spans="1:13">
      <c r="A131" s="56" t="s">
        <v>296</v>
      </c>
      <c r="B131" s="56" t="s">
        <v>297</v>
      </c>
      <c r="C131" s="56" t="s">
        <v>329</v>
      </c>
      <c r="D131" s="56" t="str">
        <f>VLOOKUP(C131,'[2]From July 2022'!$D:$E,2,0)</f>
        <v>NHS CAMBRIDGESHIRE AND PETERBOROUGH INTEGRATED CARE BOARD</v>
      </c>
      <c r="E131" s="56" t="s">
        <v>334</v>
      </c>
      <c r="F131" s="56" t="s">
        <v>335</v>
      </c>
      <c r="G131" s="56" t="s">
        <v>88</v>
      </c>
      <c r="H131" s="56">
        <v>89</v>
      </c>
      <c r="I131" s="56">
        <v>2775</v>
      </c>
      <c r="J131" s="65">
        <v>7.4126092384519353</v>
      </c>
      <c r="K131" s="65">
        <v>7.9213483146067416</v>
      </c>
      <c r="L131" s="65">
        <v>6.8164794007490634</v>
      </c>
      <c r="M131" s="86">
        <v>7.5</v>
      </c>
    </row>
    <row r="132" spans="1:13">
      <c r="A132" s="56" t="s">
        <v>296</v>
      </c>
      <c r="B132" s="56" t="s">
        <v>297</v>
      </c>
      <c r="C132" s="56" t="s">
        <v>329</v>
      </c>
      <c r="D132" s="56" t="str">
        <f>VLOOKUP(C132,'[2]From July 2022'!$D:$E,2,0)</f>
        <v>NHS CAMBRIDGESHIRE AND PETERBOROUGH INTEGRATED CARE BOARD</v>
      </c>
      <c r="E132" s="56" t="s">
        <v>336</v>
      </c>
      <c r="F132" s="56" t="s">
        <v>337</v>
      </c>
      <c r="G132" s="56" t="s">
        <v>178</v>
      </c>
      <c r="H132" s="56">
        <v>1120</v>
      </c>
      <c r="I132" s="56">
        <v>5575</v>
      </c>
      <c r="J132" s="65">
        <v>4.902281746031746</v>
      </c>
      <c r="K132" s="65">
        <v>4.8303571428571432</v>
      </c>
      <c r="L132" s="65">
        <v>4.4055059523809526</v>
      </c>
      <c r="M132" s="86">
        <v>5.4709821428571432</v>
      </c>
    </row>
    <row r="133" spans="1:13">
      <c r="A133" s="56" t="s">
        <v>296</v>
      </c>
      <c r="B133" s="56" t="s">
        <v>297</v>
      </c>
      <c r="C133" s="56" t="s">
        <v>329</v>
      </c>
      <c r="D133" s="56" t="str">
        <f>VLOOKUP(C133,'[2]From July 2022'!$D:$E,2,0)</f>
        <v>NHS CAMBRIDGESHIRE AND PETERBOROUGH INTEGRATED CARE BOARD</v>
      </c>
      <c r="E133" s="56" t="s">
        <v>338</v>
      </c>
      <c r="F133" s="56" t="s">
        <v>339</v>
      </c>
      <c r="G133" s="56" t="s">
        <v>48</v>
      </c>
      <c r="H133" s="56">
        <v>359</v>
      </c>
      <c r="I133" s="56">
        <v>6935</v>
      </c>
      <c r="J133" s="65">
        <v>5.6979263385948613</v>
      </c>
      <c r="K133" s="65">
        <v>5.4015784586815228</v>
      </c>
      <c r="L133" s="65">
        <v>5.6429897864438257</v>
      </c>
      <c r="M133" s="86">
        <v>6.0492107706592382</v>
      </c>
    </row>
    <row r="134" spans="1:13">
      <c r="A134" s="56" t="s">
        <v>340</v>
      </c>
      <c r="B134" s="56" t="s">
        <v>341</v>
      </c>
      <c r="C134" s="56" t="s">
        <v>342</v>
      </c>
      <c r="D134" s="56" t="str">
        <f>VLOOKUP(C134,'[2]From July 2022'!$D:$E,2,0)</f>
        <v>NHS LANCASHIRE AND SOUTH CUMBRIA INTEGRATED CARE BOARD</v>
      </c>
      <c r="E134" s="56" t="s">
        <v>343</v>
      </c>
      <c r="F134" s="56" t="s">
        <v>344</v>
      </c>
      <c r="G134" s="56" t="s">
        <v>48</v>
      </c>
      <c r="H134" s="56">
        <v>265</v>
      </c>
      <c r="I134" s="56">
        <v>7856</v>
      </c>
      <c r="J134" s="65">
        <v>6.7547169811320762</v>
      </c>
      <c r="K134" s="65">
        <v>6.5188679245283021</v>
      </c>
      <c r="L134" s="65">
        <v>6.8301886792452828</v>
      </c>
      <c r="M134" s="86">
        <v>6.9150943396226419</v>
      </c>
    </row>
    <row r="135" spans="1:13">
      <c r="A135" s="56" t="s">
        <v>340</v>
      </c>
      <c r="B135" s="56" t="s">
        <v>341</v>
      </c>
      <c r="C135" s="56" t="s">
        <v>342</v>
      </c>
      <c r="D135" s="56" t="str">
        <f>VLOOKUP(C135,'[2]From July 2022'!$D:$E,2,0)</f>
        <v>NHS LANCASHIRE AND SOUTH CUMBRIA INTEGRATED CARE BOARD</v>
      </c>
      <c r="E135" s="56" t="s">
        <v>345</v>
      </c>
      <c r="F135" s="56" t="s">
        <v>346</v>
      </c>
      <c r="G135" s="56" t="s">
        <v>48</v>
      </c>
      <c r="H135" s="56">
        <v>27</v>
      </c>
      <c r="I135" s="56">
        <v>9614</v>
      </c>
      <c r="J135" s="65">
        <v>6.4917695473251031</v>
      </c>
      <c r="K135" s="65">
        <v>6.666666666666667</v>
      </c>
      <c r="L135" s="65">
        <v>6.2345679012345681</v>
      </c>
      <c r="M135" s="86">
        <v>6.5740740740740744</v>
      </c>
    </row>
    <row r="136" spans="1:13">
      <c r="A136" s="56" t="s">
        <v>340</v>
      </c>
      <c r="B136" s="56" t="s">
        <v>341</v>
      </c>
      <c r="C136" s="56" t="s">
        <v>342</v>
      </c>
      <c r="D136" s="56" t="str">
        <f>VLOOKUP(C136,'[2]From July 2022'!$D:$E,2,0)</f>
        <v>NHS LANCASHIRE AND SOUTH CUMBRIA INTEGRATED CARE BOARD</v>
      </c>
      <c r="E136" s="56" t="s">
        <v>347</v>
      </c>
      <c r="F136" s="56" t="s">
        <v>348</v>
      </c>
      <c r="G136" s="56" t="s">
        <v>55</v>
      </c>
      <c r="H136" s="56">
        <v>1070</v>
      </c>
      <c r="I136" s="56">
        <v>7066</v>
      </c>
      <c r="J136" s="65">
        <v>6.8169781931464177</v>
      </c>
      <c r="K136" s="65">
        <v>6.6160436137071654</v>
      </c>
      <c r="L136" s="65">
        <v>6.7702492211838008</v>
      </c>
      <c r="M136" s="86">
        <v>7.064641744548287</v>
      </c>
    </row>
    <row r="137" spans="1:13">
      <c r="A137" s="56" t="s">
        <v>340</v>
      </c>
      <c r="B137" s="56" t="s">
        <v>341</v>
      </c>
      <c r="C137" s="56" t="s">
        <v>342</v>
      </c>
      <c r="D137" s="56" t="str">
        <f>VLOOKUP(C137,'[2]From July 2022'!$D:$E,2,0)</f>
        <v>NHS LANCASHIRE AND SOUTH CUMBRIA INTEGRATED CARE BOARD</v>
      </c>
      <c r="E137" s="56" t="s">
        <v>349</v>
      </c>
      <c r="F137" s="56" t="s">
        <v>350</v>
      </c>
      <c r="G137" s="56" t="s">
        <v>48</v>
      </c>
      <c r="H137" s="56">
        <v>1370</v>
      </c>
      <c r="I137" s="56">
        <v>9294</v>
      </c>
      <c r="J137" s="65">
        <v>6.7704288422525742</v>
      </c>
      <c r="K137" s="65">
        <v>6.6867396593673973</v>
      </c>
      <c r="L137" s="65">
        <v>6.7225791101594101</v>
      </c>
      <c r="M137" s="86">
        <v>6.9019677572309144</v>
      </c>
    </row>
    <row r="138" spans="1:13">
      <c r="A138" s="56" t="s">
        <v>340</v>
      </c>
      <c r="B138" s="56" t="s">
        <v>341</v>
      </c>
      <c r="C138" s="56" t="s">
        <v>342</v>
      </c>
      <c r="D138" s="56" t="str">
        <f>VLOOKUP(C138,'[2]From July 2022'!$D:$E,2,0)</f>
        <v>NHS LANCASHIRE AND SOUTH CUMBRIA INTEGRATED CARE BOARD</v>
      </c>
      <c r="E138" s="56" t="s">
        <v>351</v>
      </c>
      <c r="F138" s="56" t="s">
        <v>352</v>
      </c>
      <c r="G138" s="56" t="s">
        <v>48</v>
      </c>
      <c r="H138" s="56">
        <v>348</v>
      </c>
      <c r="I138" s="56">
        <v>7106</v>
      </c>
      <c r="J138" s="65">
        <v>6.4838761174968065</v>
      </c>
      <c r="K138" s="65">
        <v>6.240421455938697</v>
      </c>
      <c r="L138" s="65">
        <v>6.6235632183908049</v>
      </c>
      <c r="M138" s="86">
        <v>6.5876436781609193</v>
      </c>
    </row>
    <row r="139" spans="1:13">
      <c r="A139" s="56" t="s">
        <v>340</v>
      </c>
      <c r="B139" s="56" t="s">
        <v>341</v>
      </c>
      <c r="C139" s="56" t="s">
        <v>353</v>
      </c>
      <c r="D139" s="56" t="str">
        <f>VLOOKUP(C139,'[2]From July 2022'!$D:$E,2,0)</f>
        <v>NHS GREATER MANCHESTER INTEGRATED CARE BOARD</v>
      </c>
      <c r="E139" s="56" t="s">
        <v>354</v>
      </c>
      <c r="F139" s="56" t="s">
        <v>355</v>
      </c>
      <c r="G139" s="56" t="s">
        <v>48</v>
      </c>
      <c r="H139" s="56">
        <v>1200</v>
      </c>
      <c r="I139" s="56">
        <v>6357</v>
      </c>
      <c r="J139" s="65">
        <v>7.2497685185185183</v>
      </c>
      <c r="K139" s="65">
        <v>7.2868055555555546</v>
      </c>
      <c r="L139" s="65">
        <v>7.135416666666667</v>
      </c>
      <c r="M139" s="86">
        <v>7.3270833333333334</v>
      </c>
    </row>
    <row r="140" spans="1:13">
      <c r="A140" s="56" t="s">
        <v>340</v>
      </c>
      <c r="B140" s="56" t="s">
        <v>341</v>
      </c>
      <c r="C140" s="56" t="s">
        <v>353</v>
      </c>
      <c r="D140" s="56" t="str">
        <f>VLOOKUP(C140,'[2]From July 2022'!$D:$E,2,0)</f>
        <v>NHS GREATER MANCHESTER INTEGRATED CARE BOARD</v>
      </c>
      <c r="E140" s="56" t="s">
        <v>356</v>
      </c>
      <c r="F140" s="56" t="s">
        <v>357</v>
      </c>
      <c r="G140" s="56" t="s">
        <v>55</v>
      </c>
      <c r="H140" s="56">
        <v>1309</v>
      </c>
      <c r="I140" s="56">
        <v>6258</v>
      </c>
      <c r="J140" s="65">
        <v>6.6608739806680317</v>
      </c>
      <c r="K140" s="65">
        <v>6.403743315508021</v>
      </c>
      <c r="L140" s="65">
        <v>6.7615635997988948</v>
      </c>
      <c r="M140" s="86">
        <v>6.8173150266971776</v>
      </c>
    </row>
    <row r="141" spans="1:13">
      <c r="A141" s="56" t="s">
        <v>340</v>
      </c>
      <c r="B141" s="56" t="s">
        <v>341</v>
      </c>
      <c r="C141" s="56" t="s">
        <v>353</v>
      </c>
      <c r="D141" s="56" t="str">
        <f>VLOOKUP(C141,'[2]From July 2022'!$D:$E,2,0)</f>
        <v>NHS GREATER MANCHESTER INTEGRATED CARE BOARD</v>
      </c>
      <c r="E141" s="56" t="s">
        <v>358</v>
      </c>
      <c r="F141" s="56" t="s">
        <v>359</v>
      </c>
      <c r="G141" s="56" t="s">
        <v>48</v>
      </c>
      <c r="H141" s="56">
        <v>3639</v>
      </c>
      <c r="I141" s="56">
        <v>27674</v>
      </c>
      <c r="J141" s="65">
        <v>6.5333971768973846</v>
      </c>
      <c r="K141" s="65">
        <v>6.5258471881529934</v>
      </c>
      <c r="L141" s="65">
        <v>6.3845486111111107</v>
      </c>
      <c r="M141" s="86">
        <v>6.6897957314280481</v>
      </c>
    </row>
    <row r="142" spans="1:13">
      <c r="A142" s="56" t="s">
        <v>340</v>
      </c>
      <c r="B142" s="56" t="s">
        <v>341</v>
      </c>
      <c r="C142" s="56" t="s">
        <v>353</v>
      </c>
      <c r="D142" s="56" t="str">
        <f>VLOOKUP(C142,'[2]From July 2022'!$D:$E,2,0)</f>
        <v>NHS GREATER MANCHESTER INTEGRATED CARE BOARD</v>
      </c>
      <c r="E142" s="56" t="s">
        <v>360</v>
      </c>
      <c r="F142" s="56" t="s">
        <v>361</v>
      </c>
      <c r="G142" s="56" t="s">
        <v>178</v>
      </c>
      <c r="H142" s="56">
        <v>850</v>
      </c>
      <c r="I142" s="56">
        <v>6686</v>
      </c>
      <c r="J142" s="65">
        <v>6.1802687125751179</v>
      </c>
      <c r="K142" s="65">
        <v>6.450980392156862</v>
      </c>
      <c r="L142" s="65">
        <v>5.69898753894081</v>
      </c>
      <c r="M142" s="86">
        <v>6.3908382066276808</v>
      </c>
    </row>
    <row r="143" spans="1:13">
      <c r="A143" s="56" t="s">
        <v>340</v>
      </c>
      <c r="B143" s="56" t="s">
        <v>341</v>
      </c>
      <c r="C143" s="56" t="s">
        <v>353</v>
      </c>
      <c r="D143" s="56" t="str">
        <f>VLOOKUP(C143,'[2]From July 2022'!$D:$E,2,0)</f>
        <v>NHS GREATER MANCHESTER INTEGRATED CARE BOARD</v>
      </c>
      <c r="E143" s="56" t="s">
        <v>362</v>
      </c>
      <c r="F143" s="56" t="s">
        <v>363</v>
      </c>
      <c r="G143" s="56" t="s">
        <v>48</v>
      </c>
      <c r="H143" s="56">
        <v>2227</v>
      </c>
      <c r="I143" s="56">
        <v>19067</v>
      </c>
      <c r="J143" s="65">
        <v>6.1515242229207203</v>
      </c>
      <c r="K143" s="65">
        <v>6.1435413860200567</v>
      </c>
      <c r="L143" s="65">
        <v>6.1427929950606197</v>
      </c>
      <c r="M143" s="86">
        <v>6.1682382876814845</v>
      </c>
    </row>
    <row r="144" spans="1:13">
      <c r="A144" s="56" t="s">
        <v>340</v>
      </c>
      <c r="B144" s="56" t="s">
        <v>341</v>
      </c>
      <c r="C144" s="56" t="s">
        <v>353</v>
      </c>
      <c r="D144" s="56" t="str">
        <f>VLOOKUP(C144,'[2]From July 2022'!$D:$E,2,0)</f>
        <v>NHS GREATER MANCHESTER INTEGRATED CARE BOARD</v>
      </c>
      <c r="E144" s="56" t="s">
        <v>364</v>
      </c>
      <c r="F144" s="56" t="s">
        <v>365</v>
      </c>
      <c r="G144" s="56" t="s">
        <v>55</v>
      </c>
      <c r="H144" s="56">
        <v>204</v>
      </c>
      <c r="I144" s="56">
        <v>3614</v>
      </c>
      <c r="J144" s="65">
        <v>6.3248910675381262</v>
      </c>
      <c r="K144" s="65">
        <v>6.0702614379084965</v>
      </c>
      <c r="L144" s="65">
        <v>6.409313725490196</v>
      </c>
      <c r="M144" s="86">
        <v>6.4950980392156863</v>
      </c>
    </row>
    <row r="145" spans="1:13">
      <c r="A145" s="56" t="s">
        <v>340</v>
      </c>
      <c r="B145" s="56" t="s">
        <v>341</v>
      </c>
      <c r="C145" s="56" t="s">
        <v>353</v>
      </c>
      <c r="D145" s="56" t="str">
        <f>VLOOKUP(C145,'[2]From July 2022'!$D:$E,2,0)</f>
        <v>NHS GREATER MANCHESTER INTEGRATED CARE BOARD</v>
      </c>
      <c r="E145" s="56" t="s">
        <v>366</v>
      </c>
      <c r="F145" s="56" t="s">
        <v>367</v>
      </c>
      <c r="G145" s="56" t="s">
        <v>48</v>
      </c>
      <c r="H145" s="56">
        <v>66</v>
      </c>
      <c r="I145" s="56">
        <v>4061</v>
      </c>
      <c r="J145" s="65">
        <v>6.0101010101010104</v>
      </c>
      <c r="K145" s="65">
        <v>5.5808080808080804</v>
      </c>
      <c r="L145" s="65">
        <v>5.9217171717171713</v>
      </c>
      <c r="M145" s="86">
        <v>6.5277777777777777</v>
      </c>
    </row>
    <row r="146" spans="1:13">
      <c r="A146" s="56" t="s">
        <v>340</v>
      </c>
      <c r="B146" s="56" t="s">
        <v>341</v>
      </c>
      <c r="C146" s="56" t="s">
        <v>353</v>
      </c>
      <c r="D146" s="56" t="str">
        <f>VLOOKUP(C146,'[2]From July 2022'!$D:$E,2,0)</f>
        <v>NHS GREATER MANCHESTER INTEGRATED CARE BOARD</v>
      </c>
      <c r="E146" s="56" t="s">
        <v>368</v>
      </c>
      <c r="F146" s="56" t="s">
        <v>369</v>
      </c>
      <c r="G146" s="56" t="s">
        <v>72</v>
      </c>
      <c r="H146" s="56">
        <v>122</v>
      </c>
      <c r="I146" s="56">
        <v>3271</v>
      </c>
      <c r="J146" s="65">
        <v>6.4981785063752282</v>
      </c>
      <c r="K146" s="65">
        <v>7.056010928961749</v>
      </c>
      <c r="L146" s="65">
        <v>6.3456284153005464</v>
      </c>
      <c r="M146" s="86">
        <v>6.0928961748633883</v>
      </c>
    </row>
    <row r="147" spans="1:13">
      <c r="A147" s="56" t="s">
        <v>340</v>
      </c>
      <c r="B147" s="56" t="s">
        <v>341</v>
      </c>
      <c r="C147" s="56" t="s">
        <v>353</v>
      </c>
      <c r="D147" s="56" t="str">
        <f>VLOOKUP(C147,'[2]From July 2022'!$D:$E,2,0)</f>
        <v>NHS GREATER MANCHESTER INTEGRATED CARE BOARD</v>
      </c>
      <c r="E147" s="56" t="s">
        <v>370</v>
      </c>
      <c r="F147" s="56" t="s">
        <v>371</v>
      </c>
      <c r="G147" s="56" t="s">
        <v>48</v>
      </c>
      <c r="H147" s="56">
        <v>91</v>
      </c>
      <c r="I147" s="56">
        <v>6789</v>
      </c>
      <c r="J147" s="65">
        <v>6.7979242979242978</v>
      </c>
      <c r="K147" s="65">
        <v>6.7673992673992682</v>
      </c>
      <c r="L147" s="65">
        <v>6.7948717948717956</v>
      </c>
      <c r="M147" s="86">
        <v>6.8315018315018312</v>
      </c>
    </row>
    <row r="148" spans="1:13">
      <c r="A148" s="56" t="s">
        <v>340</v>
      </c>
      <c r="B148" s="56" t="s">
        <v>341</v>
      </c>
      <c r="C148" s="56" t="s">
        <v>372</v>
      </c>
      <c r="D148" s="56" t="str">
        <f>VLOOKUP(C148,'[2]From July 2022'!$D:$E,2,0)</f>
        <v>NHS CHESHIRE AND MERSEYSIDE INTEGRATED CARE BOARD</v>
      </c>
      <c r="E148" s="56" t="s">
        <v>373</v>
      </c>
      <c r="F148" s="56" t="s">
        <v>374</v>
      </c>
      <c r="G148" s="56" t="s">
        <v>48</v>
      </c>
      <c r="H148" s="56">
        <v>340</v>
      </c>
      <c r="I148" s="56">
        <v>4147</v>
      </c>
      <c r="J148" s="65">
        <v>6.9150326797385624</v>
      </c>
      <c r="K148" s="65">
        <v>7.4068627450980395</v>
      </c>
      <c r="L148" s="65">
        <v>6.4950980392156863</v>
      </c>
      <c r="M148" s="86">
        <v>6.8431372549019605</v>
      </c>
    </row>
    <row r="149" spans="1:13">
      <c r="A149" s="56" t="s">
        <v>340</v>
      </c>
      <c r="B149" s="56" t="s">
        <v>341</v>
      </c>
      <c r="C149" s="56" t="s">
        <v>372</v>
      </c>
      <c r="D149" s="56" t="str">
        <f>VLOOKUP(C149,'[2]From July 2022'!$D:$E,2,0)</f>
        <v>NHS CHESHIRE AND MERSEYSIDE INTEGRATED CARE BOARD</v>
      </c>
      <c r="E149" s="56" t="s">
        <v>375</v>
      </c>
      <c r="F149" s="56" t="s">
        <v>376</v>
      </c>
      <c r="G149" s="56" t="s">
        <v>88</v>
      </c>
      <c r="H149" s="56">
        <v>228</v>
      </c>
      <c r="I149" s="56">
        <v>1484</v>
      </c>
      <c r="J149" s="65">
        <v>6.628898635477583</v>
      </c>
      <c r="K149" s="65">
        <v>6.6520467836257318</v>
      </c>
      <c r="L149" s="65">
        <v>6.4619883040935671</v>
      </c>
      <c r="M149" s="86">
        <v>6.7726608187134509</v>
      </c>
    </row>
    <row r="150" spans="1:13">
      <c r="A150" s="56" t="s">
        <v>340</v>
      </c>
      <c r="B150" s="56" t="s">
        <v>341</v>
      </c>
      <c r="C150" s="56" t="s">
        <v>372</v>
      </c>
      <c r="D150" s="56" t="str">
        <f>VLOOKUP(C150,'[2]From July 2022'!$D:$E,2,0)</f>
        <v>NHS CHESHIRE AND MERSEYSIDE INTEGRATED CARE BOARD</v>
      </c>
      <c r="E150" s="56" t="s">
        <v>377</v>
      </c>
      <c r="F150" s="56" t="s">
        <v>378</v>
      </c>
      <c r="G150" s="56" t="s">
        <v>55</v>
      </c>
      <c r="H150" s="56">
        <v>680</v>
      </c>
      <c r="I150" s="56">
        <v>4047</v>
      </c>
      <c r="J150" s="65">
        <v>7.1260372215550767</v>
      </c>
      <c r="K150" s="65">
        <v>7.2290759554910498</v>
      </c>
      <c r="L150" s="65">
        <v>6.8978102189781021</v>
      </c>
      <c r="M150" s="86">
        <v>7.2512254901960782</v>
      </c>
    </row>
    <row r="151" spans="1:13">
      <c r="A151" s="56" t="s">
        <v>340</v>
      </c>
      <c r="B151" s="56" t="s">
        <v>341</v>
      </c>
      <c r="C151" s="56" t="s">
        <v>372</v>
      </c>
      <c r="D151" s="56" t="str">
        <f>VLOOKUP(C151,'[2]From July 2022'!$D:$E,2,0)</f>
        <v>NHS CHESHIRE AND MERSEYSIDE INTEGRATED CARE BOARD</v>
      </c>
      <c r="E151" s="56" t="s">
        <v>379</v>
      </c>
      <c r="F151" s="56" t="s">
        <v>380</v>
      </c>
      <c r="G151" s="56" t="s">
        <v>48</v>
      </c>
      <c r="H151" s="56">
        <v>329</v>
      </c>
      <c r="I151" s="56">
        <v>4488</v>
      </c>
      <c r="J151" s="65">
        <v>5.6019925700776767</v>
      </c>
      <c r="K151" s="65">
        <v>5.1089159067882468</v>
      </c>
      <c r="L151" s="65">
        <v>5.7168186423505567</v>
      </c>
      <c r="M151" s="86">
        <v>5.9802431610942248</v>
      </c>
    </row>
    <row r="152" spans="1:13">
      <c r="A152" s="56" t="s">
        <v>340</v>
      </c>
      <c r="B152" s="56" t="s">
        <v>341</v>
      </c>
      <c r="C152" s="56" t="s">
        <v>372</v>
      </c>
      <c r="D152" s="56" t="str">
        <f>VLOOKUP(C152,'[2]From July 2022'!$D:$E,2,0)</f>
        <v>NHS CHESHIRE AND MERSEYSIDE INTEGRATED CARE BOARD</v>
      </c>
      <c r="E152" s="56" t="s">
        <v>381</v>
      </c>
      <c r="F152" s="56" t="s">
        <v>382</v>
      </c>
      <c r="G152" s="56" t="s">
        <v>48</v>
      </c>
      <c r="H152" s="56">
        <v>49</v>
      </c>
      <c r="I152" s="56">
        <v>2549</v>
      </c>
      <c r="J152" s="65">
        <v>6.2585034013605449</v>
      </c>
      <c r="K152" s="65">
        <v>5.9013605442176873</v>
      </c>
      <c r="L152" s="65">
        <v>6.2414965986394551</v>
      </c>
      <c r="M152" s="86">
        <v>6.6326530612244898</v>
      </c>
    </row>
    <row r="153" spans="1:13">
      <c r="A153" s="56" t="s">
        <v>340</v>
      </c>
      <c r="B153" s="56" t="s">
        <v>341</v>
      </c>
      <c r="C153" s="56" t="s">
        <v>372</v>
      </c>
      <c r="D153" s="56" t="str">
        <f>VLOOKUP(C153,'[2]From July 2022'!$D:$E,2,0)</f>
        <v>NHS CHESHIRE AND MERSEYSIDE INTEGRATED CARE BOARD</v>
      </c>
      <c r="E153" s="56" t="s">
        <v>383</v>
      </c>
      <c r="F153" s="56" t="s">
        <v>384</v>
      </c>
      <c r="G153" s="56" t="s">
        <v>72</v>
      </c>
      <c r="H153" s="56">
        <v>48</v>
      </c>
      <c r="I153" s="56">
        <v>1888</v>
      </c>
      <c r="J153" s="65">
        <v>7.3495370370370372</v>
      </c>
      <c r="K153" s="65">
        <v>8.0555555555555554</v>
      </c>
      <c r="L153" s="65">
        <v>6.8923611111111107</v>
      </c>
      <c r="M153" s="86">
        <v>7.1006944444444438</v>
      </c>
    </row>
    <row r="154" spans="1:13">
      <c r="A154" s="56" t="s">
        <v>340</v>
      </c>
      <c r="B154" s="56" t="s">
        <v>341</v>
      </c>
      <c r="C154" s="56" t="s">
        <v>372</v>
      </c>
      <c r="D154" s="56" t="str">
        <f>VLOOKUP(C154,'[2]From July 2022'!$D:$E,2,0)</f>
        <v>NHS CHESHIRE AND MERSEYSIDE INTEGRATED CARE BOARD</v>
      </c>
      <c r="E154" s="56" t="s">
        <v>385</v>
      </c>
      <c r="F154" s="56" t="s">
        <v>386</v>
      </c>
      <c r="G154" s="56" t="s">
        <v>48</v>
      </c>
      <c r="H154" s="56">
        <v>1684</v>
      </c>
      <c r="I154" s="56">
        <v>13593</v>
      </c>
      <c r="J154" s="65">
        <v>6.3033087039462332</v>
      </c>
      <c r="K154" s="65">
        <v>6.2838773491592486</v>
      </c>
      <c r="L154" s="65">
        <v>6.1306014150943398</v>
      </c>
      <c r="M154" s="86">
        <v>6.4954473475851149</v>
      </c>
    </row>
    <row r="155" spans="1:13">
      <c r="A155" s="56" t="s">
        <v>340</v>
      </c>
      <c r="B155" s="56" t="s">
        <v>341</v>
      </c>
      <c r="C155" s="56" t="s">
        <v>372</v>
      </c>
      <c r="D155" s="56" t="str">
        <f>VLOOKUP(C155,'[2]From July 2022'!$D:$E,2,0)</f>
        <v>NHS CHESHIRE AND MERSEYSIDE INTEGRATED CARE BOARD</v>
      </c>
      <c r="E155" s="56" t="s">
        <v>387</v>
      </c>
      <c r="F155" s="56" t="s">
        <v>388</v>
      </c>
      <c r="G155" s="56" t="s">
        <v>72</v>
      </c>
      <c r="H155" s="56">
        <v>201</v>
      </c>
      <c r="I155" s="56">
        <v>1598</v>
      </c>
      <c r="J155" s="65">
        <v>5.9148050007610911</v>
      </c>
      <c r="K155" s="65">
        <v>5.7587064676616917</v>
      </c>
      <c r="L155" s="65">
        <v>5.625</v>
      </c>
      <c r="M155" s="86">
        <v>6.3607085346215788</v>
      </c>
    </row>
    <row r="156" spans="1:13">
      <c r="A156" s="56" t="s">
        <v>340</v>
      </c>
      <c r="B156" s="56" t="s">
        <v>341</v>
      </c>
      <c r="C156" s="56" t="s">
        <v>372</v>
      </c>
      <c r="D156" s="56" t="str">
        <f>VLOOKUP(C156,'[2]From July 2022'!$D:$E,2,0)</f>
        <v>NHS CHESHIRE AND MERSEYSIDE INTEGRATED CARE BOARD</v>
      </c>
      <c r="E156" s="56" t="s">
        <v>389</v>
      </c>
      <c r="F156" s="56" t="s">
        <v>390</v>
      </c>
      <c r="G156" s="56" t="s">
        <v>55</v>
      </c>
      <c r="H156" s="56">
        <v>2715</v>
      </c>
      <c r="I156" s="56">
        <v>10479</v>
      </c>
      <c r="J156" s="65">
        <v>7.0201437894184684</v>
      </c>
      <c r="K156" s="65">
        <v>6.9157791651364917</v>
      </c>
      <c r="L156" s="65">
        <v>6.8753836709637817</v>
      </c>
      <c r="M156" s="86">
        <v>7.26926853215513</v>
      </c>
    </row>
    <row r="157" spans="1:13">
      <c r="A157" s="56" t="s">
        <v>340</v>
      </c>
      <c r="B157" s="56" t="s">
        <v>341</v>
      </c>
      <c r="C157" s="56" t="s">
        <v>372</v>
      </c>
      <c r="D157" s="56" t="str">
        <f>VLOOKUP(C157,'[2]From July 2022'!$D:$E,2,0)</f>
        <v>NHS CHESHIRE AND MERSEYSIDE INTEGRATED CARE BOARD</v>
      </c>
      <c r="E157" s="56" t="s">
        <v>391</v>
      </c>
      <c r="F157" s="56" t="s">
        <v>392</v>
      </c>
      <c r="G157" s="56" t="s">
        <v>48</v>
      </c>
      <c r="H157" s="56">
        <v>337</v>
      </c>
      <c r="I157" s="56">
        <v>5119</v>
      </c>
      <c r="J157" s="65">
        <v>6.7969007583250907</v>
      </c>
      <c r="K157" s="65">
        <v>6.8199802176063304</v>
      </c>
      <c r="L157" s="65">
        <v>6.7012858555885266</v>
      </c>
      <c r="M157" s="86">
        <v>6.8694362017804158</v>
      </c>
    </row>
    <row r="158" spans="1:13">
      <c r="A158" s="56" t="s">
        <v>340</v>
      </c>
      <c r="B158" s="56" t="s">
        <v>341</v>
      </c>
      <c r="C158" s="56" t="s">
        <v>372</v>
      </c>
      <c r="D158" s="56" t="str">
        <f>VLOOKUP(C158,'[2]From July 2022'!$D:$E,2,0)</f>
        <v>NHS CHESHIRE AND MERSEYSIDE INTEGRATED CARE BOARD</v>
      </c>
      <c r="E158" s="56" t="s">
        <v>393</v>
      </c>
      <c r="F158" s="56" t="s">
        <v>394</v>
      </c>
      <c r="G158" s="56" t="s">
        <v>48</v>
      </c>
      <c r="H158" s="56">
        <v>247</v>
      </c>
      <c r="I158" s="56">
        <v>3339</v>
      </c>
      <c r="J158" s="65">
        <v>6.2714439946018894</v>
      </c>
      <c r="K158" s="65">
        <v>5.64</v>
      </c>
      <c r="L158" s="65">
        <v>6.1466666666666674</v>
      </c>
      <c r="M158" s="86">
        <v>7.0276653171390011</v>
      </c>
    </row>
    <row r="159" spans="1:13">
      <c r="A159" s="56" t="s">
        <v>340</v>
      </c>
      <c r="B159" s="56" t="s">
        <v>341</v>
      </c>
      <c r="C159" s="56" t="s">
        <v>372</v>
      </c>
      <c r="D159" s="56" t="str">
        <f>VLOOKUP(C159,'[2]From July 2022'!$D:$E,2,0)</f>
        <v>NHS CHESHIRE AND MERSEYSIDE INTEGRATED CARE BOARD</v>
      </c>
      <c r="E159" s="56" t="s">
        <v>395</v>
      </c>
      <c r="F159" s="56" t="s">
        <v>396</v>
      </c>
      <c r="G159" s="56" t="s">
        <v>48</v>
      </c>
      <c r="H159" s="56">
        <v>241</v>
      </c>
      <c r="I159" s="56">
        <v>6818</v>
      </c>
      <c r="J159" s="65">
        <v>6.4430613185799901</v>
      </c>
      <c r="K159" s="65">
        <v>6.7219917012448134</v>
      </c>
      <c r="L159" s="65">
        <v>6.2586445366528354</v>
      </c>
      <c r="M159" s="86">
        <v>6.3485477178423233</v>
      </c>
    </row>
    <row r="160" spans="1:13">
      <c r="A160" s="56" t="s">
        <v>340</v>
      </c>
      <c r="B160" s="56" t="s">
        <v>341</v>
      </c>
      <c r="C160" s="56" t="s">
        <v>372</v>
      </c>
      <c r="D160" s="56" t="str">
        <f>VLOOKUP(C160,'[2]From July 2022'!$D:$E,2,0)</f>
        <v>NHS CHESHIRE AND MERSEYSIDE INTEGRATED CARE BOARD</v>
      </c>
      <c r="E160" s="56" t="s">
        <v>397</v>
      </c>
      <c r="F160" s="56" t="s">
        <v>398</v>
      </c>
      <c r="G160" s="56" t="s">
        <v>72</v>
      </c>
      <c r="H160" s="56">
        <v>393</v>
      </c>
      <c r="I160" s="56">
        <v>1629</v>
      </c>
      <c r="J160" s="65">
        <v>7.1614362454057101</v>
      </c>
      <c r="K160" s="65">
        <v>7.6081424936386766</v>
      </c>
      <c r="L160" s="65">
        <v>6.9274809160305342</v>
      </c>
      <c r="M160" s="86">
        <v>6.9486853265479223</v>
      </c>
    </row>
    <row r="161" spans="1:13">
      <c r="A161" s="56" t="s">
        <v>340</v>
      </c>
      <c r="B161" s="56" t="s">
        <v>341</v>
      </c>
      <c r="C161" s="56" t="s">
        <v>372</v>
      </c>
      <c r="D161" s="56" t="str">
        <f>VLOOKUP(C161,'[2]From July 2022'!$D:$E,2,0)</f>
        <v>NHS CHESHIRE AND MERSEYSIDE INTEGRATED CARE BOARD</v>
      </c>
      <c r="E161" s="56" t="s">
        <v>399</v>
      </c>
      <c r="F161" s="56" t="s">
        <v>400</v>
      </c>
      <c r="G161" s="56" t="s">
        <v>72</v>
      </c>
      <c r="H161" s="56">
        <v>84</v>
      </c>
      <c r="I161" s="56">
        <v>1515</v>
      </c>
      <c r="J161" s="65">
        <v>7.106481481481481</v>
      </c>
      <c r="K161" s="65">
        <v>7.4404761904761907</v>
      </c>
      <c r="L161" s="65">
        <v>7.0337301587301591</v>
      </c>
      <c r="M161" s="86">
        <v>6.8452380952380949</v>
      </c>
    </row>
    <row r="162" spans="1:13">
      <c r="A162" s="56" t="s">
        <v>340</v>
      </c>
      <c r="B162" s="56" t="s">
        <v>341</v>
      </c>
      <c r="C162" s="56" t="s">
        <v>372</v>
      </c>
      <c r="D162" s="56" t="str">
        <f>VLOOKUP(C162,'[2]From July 2022'!$D:$E,2,0)</f>
        <v>NHS CHESHIRE AND MERSEYSIDE INTEGRATED CARE BOARD</v>
      </c>
      <c r="E162" s="56" t="s">
        <v>401</v>
      </c>
      <c r="F162" s="56" t="s">
        <v>402</v>
      </c>
      <c r="G162" s="56" t="s">
        <v>48</v>
      </c>
      <c r="H162" s="56">
        <v>65</v>
      </c>
      <c r="I162" s="56">
        <v>4380</v>
      </c>
      <c r="J162" s="65">
        <v>6.4401709401709404</v>
      </c>
      <c r="K162" s="65">
        <v>6.3333333333333339</v>
      </c>
      <c r="L162" s="65">
        <v>6.7307692307692308</v>
      </c>
      <c r="M162" s="86">
        <v>6.2564102564102564</v>
      </c>
    </row>
    <row r="163" spans="1:13">
      <c r="A163" s="56" t="s">
        <v>340</v>
      </c>
      <c r="B163" s="56" t="s">
        <v>341</v>
      </c>
      <c r="C163" s="56" t="s">
        <v>372</v>
      </c>
      <c r="D163" s="56" t="str">
        <f>VLOOKUP(C163,'[2]From July 2022'!$D:$E,2,0)</f>
        <v>NHS CHESHIRE AND MERSEYSIDE INTEGRATED CARE BOARD</v>
      </c>
      <c r="E163" s="56" t="s">
        <v>403</v>
      </c>
      <c r="F163" s="56" t="s">
        <v>404</v>
      </c>
      <c r="G163" s="56" t="s">
        <v>88</v>
      </c>
      <c r="H163" s="56">
        <v>199</v>
      </c>
      <c r="I163" s="56">
        <v>1904</v>
      </c>
      <c r="J163" s="65">
        <v>6.4740368509212729</v>
      </c>
      <c r="K163" s="65">
        <v>6.5368509212730315</v>
      </c>
      <c r="L163" s="65">
        <v>6.4740368509212729</v>
      </c>
      <c r="M163" s="86">
        <v>6.4112227805695134</v>
      </c>
    </row>
    <row r="164" spans="1:13">
      <c r="A164" s="56" t="s">
        <v>340</v>
      </c>
      <c r="B164" s="56" t="s">
        <v>341</v>
      </c>
      <c r="C164" s="56" t="s">
        <v>372</v>
      </c>
      <c r="D164" s="56" t="str">
        <f>VLOOKUP(C164,'[2]From July 2022'!$D:$E,2,0)</f>
        <v>NHS CHESHIRE AND MERSEYSIDE INTEGRATED CARE BOARD</v>
      </c>
      <c r="E164" s="56" t="s">
        <v>405</v>
      </c>
      <c r="F164" s="56" t="s">
        <v>406</v>
      </c>
      <c r="G164" s="56" t="s">
        <v>48</v>
      </c>
      <c r="H164" s="56">
        <v>28</v>
      </c>
      <c r="I164" s="56">
        <v>6619</v>
      </c>
      <c r="J164" s="65">
        <v>5.1984126984126986</v>
      </c>
      <c r="K164" s="65">
        <v>4.8809523809523805</v>
      </c>
      <c r="L164" s="65">
        <v>4.9107142857142856</v>
      </c>
      <c r="M164" s="86">
        <v>5.8035714285714288</v>
      </c>
    </row>
    <row r="165" spans="1:13">
      <c r="A165" s="56" t="s">
        <v>407</v>
      </c>
      <c r="B165" s="56" t="s">
        <v>408</v>
      </c>
      <c r="C165" s="56" t="s">
        <v>409</v>
      </c>
      <c r="D165" s="56" t="str">
        <f>VLOOKUP(C165,'[2]From July 2022'!$D:$E,2,0)</f>
        <v>NHS SOUTH YORKSHIRE INTEGRATED CARE BOARD</v>
      </c>
      <c r="E165" s="56" t="s">
        <v>410</v>
      </c>
      <c r="F165" s="56" t="s">
        <v>411</v>
      </c>
      <c r="G165" s="56" t="s">
        <v>48</v>
      </c>
      <c r="H165" s="56">
        <v>341</v>
      </c>
      <c r="I165" s="56">
        <v>4083</v>
      </c>
      <c r="J165" s="65">
        <v>6.5795047246660152</v>
      </c>
      <c r="K165" s="65">
        <v>6.5102639296187688</v>
      </c>
      <c r="L165" s="65">
        <v>6.5762463343108504</v>
      </c>
      <c r="M165" s="86">
        <v>6.6520039100684265</v>
      </c>
    </row>
    <row r="166" spans="1:13">
      <c r="A166" s="56" t="s">
        <v>407</v>
      </c>
      <c r="B166" s="56" t="s">
        <v>408</v>
      </c>
      <c r="C166" s="56" t="s">
        <v>409</v>
      </c>
      <c r="D166" s="56" t="str">
        <f>VLOOKUP(C166,'[2]From July 2022'!$D:$E,2,0)</f>
        <v>NHS SOUTH YORKSHIRE INTEGRATED CARE BOARD</v>
      </c>
      <c r="E166" s="56" t="s">
        <v>412</v>
      </c>
      <c r="F166" s="56" t="s">
        <v>413</v>
      </c>
      <c r="G166" s="56" t="s">
        <v>48</v>
      </c>
      <c r="H166" s="56">
        <v>495</v>
      </c>
      <c r="I166" s="56">
        <v>6583</v>
      </c>
      <c r="J166" s="65">
        <v>6.0308641975308648</v>
      </c>
      <c r="K166" s="65">
        <v>5.9713804713804715</v>
      </c>
      <c r="L166" s="65">
        <v>5.9326599326599325</v>
      </c>
      <c r="M166" s="86">
        <v>6.1885521885521886</v>
      </c>
    </row>
    <row r="167" spans="1:13">
      <c r="A167" s="56" t="s">
        <v>407</v>
      </c>
      <c r="B167" s="56" t="s">
        <v>408</v>
      </c>
      <c r="C167" s="56" t="s">
        <v>409</v>
      </c>
      <c r="D167" s="56" t="str">
        <f>VLOOKUP(C167,'[2]From July 2022'!$D:$E,2,0)</f>
        <v>NHS SOUTH YORKSHIRE INTEGRATED CARE BOARD</v>
      </c>
      <c r="E167" s="56" t="s">
        <v>414</v>
      </c>
      <c r="F167" s="56" t="s">
        <v>415</v>
      </c>
      <c r="G167" s="56" t="s">
        <v>55</v>
      </c>
      <c r="H167" s="56">
        <v>127</v>
      </c>
      <c r="I167" s="56">
        <v>3572</v>
      </c>
      <c r="J167" s="65">
        <v>6.8963254593175849</v>
      </c>
      <c r="K167" s="65">
        <v>6.9619422572178475</v>
      </c>
      <c r="L167" s="65">
        <v>6.7847769028871392</v>
      </c>
      <c r="M167" s="86">
        <v>6.9422572178477688</v>
      </c>
    </row>
    <row r="168" spans="1:13">
      <c r="A168" s="56" t="s">
        <v>407</v>
      </c>
      <c r="B168" s="56" t="s">
        <v>408</v>
      </c>
      <c r="C168" s="56" t="s">
        <v>409</v>
      </c>
      <c r="D168" s="56" t="str">
        <f>VLOOKUP(C168,'[2]From July 2022'!$D:$E,2,0)</f>
        <v>NHS SOUTH YORKSHIRE INTEGRATED CARE BOARD</v>
      </c>
      <c r="E168" s="56" t="s">
        <v>416</v>
      </c>
      <c r="F168" s="56" t="s">
        <v>417</v>
      </c>
      <c r="G168" s="56" t="s">
        <v>48</v>
      </c>
      <c r="H168" s="56">
        <v>119</v>
      </c>
      <c r="I168" s="56">
        <v>3724</v>
      </c>
      <c r="J168" s="65">
        <v>6.9444444444444455</v>
      </c>
      <c r="K168" s="65">
        <v>7.3389355742296924</v>
      </c>
      <c r="L168" s="65">
        <v>6.757703081232493</v>
      </c>
      <c r="M168" s="86">
        <v>6.7366946778711485</v>
      </c>
    </row>
    <row r="169" spans="1:13">
      <c r="A169" s="56" t="s">
        <v>407</v>
      </c>
      <c r="B169" s="56" t="s">
        <v>408</v>
      </c>
      <c r="C169" s="56" t="s">
        <v>409</v>
      </c>
      <c r="D169" s="56" t="str">
        <f>VLOOKUP(C169,'[2]From July 2022'!$D:$E,2,0)</f>
        <v>NHS SOUTH YORKSHIRE INTEGRATED CARE BOARD</v>
      </c>
      <c r="E169" s="56" t="s">
        <v>418</v>
      </c>
      <c r="F169" s="56" t="s">
        <v>419</v>
      </c>
      <c r="G169" s="56" t="s">
        <v>55</v>
      </c>
      <c r="H169" s="56">
        <v>190</v>
      </c>
      <c r="I169" s="56">
        <v>2529</v>
      </c>
      <c r="J169" s="65">
        <v>6.2383040935672511</v>
      </c>
      <c r="K169" s="65">
        <v>5.6140350877192988</v>
      </c>
      <c r="L169" s="65">
        <v>6.4868421052631575</v>
      </c>
      <c r="M169" s="86">
        <v>6.6140350877192988</v>
      </c>
    </row>
    <row r="170" spans="1:13">
      <c r="A170" s="56" t="s">
        <v>407</v>
      </c>
      <c r="B170" s="56" t="s">
        <v>408</v>
      </c>
      <c r="C170" s="56" t="s">
        <v>409</v>
      </c>
      <c r="D170" s="56" t="str">
        <f>VLOOKUP(C170,'[2]From July 2022'!$D:$E,2,0)</f>
        <v>NHS SOUTH YORKSHIRE INTEGRATED CARE BOARD</v>
      </c>
      <c r="E170" s="56" t="s">
        <v>420</v>
      </c>
      <c r="F170" s="56" t="s">
        <v>421</v>
      </c>
      <c r="G170" s="56" t="s">
        <v>48</v>
      </c>
      <c r="H170" s="56">
        <v>809</v>
      </c>
      <c r="I170" s="56">
        <v>17279</v>
      </c>
      <c r="J170" s="65">
        <v>6.2944650460101634</v>
      </c>
      <c r="K170" s="65">
        <v>6.5234857849196537</v>
      </c>
      <c r="L170" s="65">
        <v>6.0805521219612695</v>
      </c>
      <c r="M170" s="86">
        <v>6.2793572311495671</v>
      </c>
    </row>
    <row r="171" spans="1:13">
      <c r="A171" s="56" t="s">
        <v>407</v>
      </c>
      <c r="B171" s="56" t="s">
        <v>408</v>
      </c>
      <c r="C171" s="56" t="s">
        <v>409</v>
      </c>
      <c r="D171" s="56" t="str">
        <f>VLOOKUP(C171,'[2]From July 2022'!$D:$E,2,0)</f>
        <v>NHS SOUTH YORKSHIRE INTEGRATED CARE BOARD</v>
      </c>
      <c r="E171" s="56" t="s">
        <v>422</v>
      </c>
      <c r="F171" s="56" t="s">
        <v>423</v>
      </c>
      <c r="G171" s="56" t="s">
        <v>48</v>
      </c>
      <c r="H171" s="56">
        <v>613</v>
      </c>
      <c r="I171" s="56">
        <v>4700</v>
      </c>
      <c r="J171" s="65">
        <v>6.2266630415080657</v>
      </c>
      <c r="K171" s="65">
        <v>5.9081022294725392</v>
      </c>
      <c r="L171" s="65">
        <v>6.3607939097335509</v>
      </c>
      <c r="M171" s="86">
        <v>6.411092985318108</v>
      </c>
    </row>
    <row r="172" spans="1:13">
      <c r="A172" s="56" t="s">
        <v>407</v>
      </c>
      <c r="B172" s="56" t="s">
        <v>408</v>
      </c>
      <c r="C172" s="56" t="s">
        <v>424</v>
      </c>
      <c r="D172" s="56" t="str">
        <f>VLOOKUP(C172,'[2]From July 2022'!$D:$E,2,0)</f>
        <v>NHS NORTH EAST AND NORTH CUMBRIA INTEGRATED CARE BOARD</v>
      </c>
      <c r="E172" s="56" t="s">
        <v>425</v>
      </c>
      <c r="F172" s="56" t="s">
        <v>426</v>
      </c>
      <c r="G172" s="56" t="s">
        <v>48</v>
      </c>
      <c r="H172" s="56">
        <v>1080</v>
      </c>
      <c r="I172" s="56">
        <v>7667</v>
      </c>
      <c r="J172" s="65">
        <v>6.2386831275720169</v>
      </c>
      <c r="K172" s="65">
        <v>6.1288580246913584</v>
      </c>
      <c r="L172" s="65">
        <v>6.091049382716049</v>
      </c>
      <c r="M172" s="86">
        <v>6.4961419753086416</v>
      </c>
    </row>
    <row r="173" spans="1:13">
      <c r="A173" s="56" t="s">
        <v>407</v>
      </c>
      <c r="B173" s="56" t="s">
        <v>408</v>
      </c>
      <c r="C173" s="56" t="s">
        <v>424</v>
      </c>
      <c r="D173" s="56" t="str">
        <f>VLOOKUP(C173,'[2]From July 2022'!$D:$E,2,0)</f>
        <v>NHS NORTH EAST AND NORTH CUMBRIA INTEGRATED CARE BOARD</v>
      </c>
      <c r="E173" s="56" t="s">
        <v>427</v>
      </c>
      <c r="F173" s="56" t="s">
        <v>428</v>
      </c>
      <c r="G173" s="56" t="s">
        <v>55</v>
      </c>
      <c r="H173" s="56">
        <v>341</v>
      </c>
      <c r="I173" s="56">
        <v>7475</v>
      </c>
      <c r="J173" s="65">
        <v>6.7106549364613883</v>
      </c>
      <c r="K173" s="65">
        <v>6.6202346041055717</v>
      </c>
      <c r="L173" s="65">
        <v>6.6593352883675472</v>
      </c>
      <c r="M173" s="86">
        <v>6.8523949169110452</v>
      </c>
    </row>
    <row r="174" spans="1:13">
      <c r="A174" s="56" t="s">
        <v>407</v>
      </c>
      <c r="B174" s="56" t="s">
        <v>408</v>
      </c>
      <c r="C174" s="56" t="s">
        <v>424</v>
      </c>
      <c r="D174" s="56" t="str">
        <f>VLOOKUP(C174,'[2]From July 2022'!$D:$E,2,0)</f>
        <v>NHS NORTH EAST AND NORTH CUMBRIA INTEGRATED CARE BOARD</v>
      </c>
      <c r="E174" s="56" t="s">
        <v>429</v>
      </c>
      <c r="F174" s="56" t="s">
        <v>430</v>
      </c>
      <c r="G174" s="56" t="s">
        <v>48</v>
      </c>
      <c r="H174" s="56">
        <v>85</v>
      </c>
      <c r="I174" s="56">
        <v>4937</v>
      </c>
      <c r="J174" s="65">
        <v>6.3529411764705879</v>
      </c>
      <c r="K174" s="65">
        <v>6.4803921568627452</v>
      </c>
      <c r="L174" s="65">
        <v>6.4411764705882355</v>
      </c>
      <c r="M174" s="86">
        <v>6.1372549019607838</v>
      </c>
    </row>
    <row r="175" spans="1:13">
      <c r="A175" s="56" t="s">
        <v>407</v>
      </c>
      <c r="B175" s="56" t="s">
        <v>408</v>
      </c>
      <c r="C175" s="56" t="s">
        <v>424</v>
      </c>
      <c r="D175" s="56" t="str">
        <f>VLOOKUP(C175,'[2]From July 2022'!$D:$E,2,0)</f>
        <v>NHS NORTH EAST AND NORTH CUMBRIA INTEGRATED CARE BOARD</v>
      </c>
      <c r="E175" s="56" t="s">
        <v>431</v>
      </c>
      <c r="F175" s="56" t="s">
        <v>432</v>
      </c>
      <c r="G175" s="56" t="s">
        <v>48</v>
      </c>
      <c r="H175" s="56">
        <v>16</v>
      </c>
      <c r="I175" s="56">
        <v>6701</v>
      </c>
      <c r="J175" s="65">
        <v>5.6597222222222214</v>
      </c>
      <c r="K175" s="65">
        <v>4.583333333333333</v>
      </c>
      <c r="L175" s="65">
        <v>6.40625</v>
      </c>
      <c r="M175" s="86">
        <v>5.989583333333333</v>
      </c>
    </row>
    <row r="176" spans="1:13">
      <c r="A176" s="56" t="s">
        <v>407</v>
      </c>
      <c r="B176" s="56" t="s">
        <v>408</v>
      </c>
      <c r="C176" s="56" t="s">
        <v>424</v>
      </c>
      <c r="D176" s="56" t="str">
        <f>VLOOKUP(C176,'[2]From July 2022'!$D:$E,2,0)</f>
        <v>NHS NORTH EAST AND NORTH CUMBRIA INTEGRATED CARE BOARD</v>
      </c>
      <c r="E176" s="56" t="s">
        <v>433</v>
      </c>
      <c r="F176" s="56" t="s">
        <v>434</v>
      </c>
      <c r="G176" s="56" t="s">
        <v>178</v>
      </c>
      <c r="H176" s="56">
        <v>225</v>
      </c>
      <c r="I176" s="56">
        <v>2941</v>
      </c>
      <c r="J176" s="65">
        <v>5.3419753086419748</v>
      </c>
      <c r="K176" s="65">
        <v>5.7629629629629635</v>
      </c>
      <c r="L176" s="65">
        <v>4.7777777777777777</v>
      </c>
      <c r="M176" s="86">
        <v>5.4851851851851858</v>
      </c>
    </row>
    <row r="177" spans="1:13">
      <c r="A177" s="56" t="s">
        <v>407</v>
      </c>
      <c r="B177" s="56" t="s">
        <v>408</v>
      </c>
      <c r="C177" s="56" t="s">
        <v>424</v>
      </c>
      <c r="D177" s="56" t="str">
        <f>VLOOKUP(C177,'[2]From July 2022'!$D:$E,2,0)</f>
        <v>NHS NORTH EAST AND NORTH CUMBRIA INTEGRATED CARE BOARD</v>
      </c>
      <c r="E177" s="56" t="s">
        <v>435</v>
      </c>
      <c r="F177" s="56" t="s">
        <v>436</v>
      </c>
      <c r="G177" s="56" t="s">
        <v>48</v>
      </c>
      <c r="H177" s="56">
        <v>193</v>
      </c>
      <c r="I177" s="56">
        <v>5503</v>
      </c>
      <c r="J177" s="65">
        <v>6.3126079447322967</v>
      </c>
      <c r="K177" s="65">
        <v>6.3687392055267704</v>
      </c>
      <c r="L177" s="65">
        <v>6.2392055267702942</v>
      </c>
      <c r="M177" s="86">
        <v>6.3298791018998273</v>
      </c>
    </row>
    <row r="178" spans="1:13">
      <c r="A178" s="56" t="s">
        <v>407</v>
      </c>
      <c r="B178" s="56" t="s">
        <v>408</v>
      </c>
      <c r="C178" s="56" t="s">
        <v>424</v>
      </c>
      <c r="D178" s="56" t="str">
        <f>VLOOKUP(C178,'[2]From July 2022'!$D:$E,2,0)</f>
        <v>NHS NORTH EAST AND NORTH CUMBRIA INTEGRATED CARE BOARD</v>
      </c>
      <c r="E178" s="56" t="s">
        <v>437</v>
      </c>
      <c r="F178" s="56" t="s">
        <v>438</v>
      </c>
      <c r="G178" s="56" t="s">
        <v>48</v>
      </c>
      <c r="H178" s="56">
        <v>3844</v>
      </c>
      <c r="I178" s="56">
        <v>8414</v>
      </c>
      <c r="J178" s="65">
        <v>7.0597756966123262</v>
      </c>
      <c r="K178" s="65">
        <v>7.6031911203607354</v>
      </c>
      <c r="L178" s="65">
        <v>6.661680541103018</v>
      </c>
      <c r="M178" s="86">
        <v>6.9144554283732225</v>
      </c>
    </row>
    <row r="179" spans="1:13">
      <c r="A179" s="56" t="s">
        <v>407</v>
      </c>
      <c r="B179" s="56" t="s">
        <v>408</v>
      </c>
      <c r="C179" s="56" t="s">
        <v>424</v>
      </c>
      <c r="D179" s="56" t="str">
        <f>VLOOKUP(C179,'[2]From July 2022'!$D:$E,2,0)</f>
        <v>NHS NORTH EAST AND NORTH CUMBRIA INTEGRATED CARE BOARD</v>
      </c>
      <c r="E179" s="56" t="s">
        <v>439</v>
      </c>
      <c r="F179" s="56" t="s">
        <v>440</v>
      </c>
      <c r="G179" s="56" t="s">
        <v>48</v>
      </c>
      <c r="H179" s="56">
        <v>10</v>
      </c>
      <c r="I179" s="56">
        <v>9570</v>
      </c>
      <c r="J179" s="65">
        <v>6.833333333333333</v>
      </c>
      <c r="K179" s="65">
        <v>6.833333333333333</v>
      </c>
      <c r="L179" s="65">
        <v>6.833333333333333</v>
      </c>
      <c r="M179" s="86">
        <v>6.833333333333333</v>
      </c>
    </row>
    <row r="180" spans="1:13">
      <c r="A180" s="56" t="s">
        <v>407</v>
      </c>
      <c r="B180" s="56" t="s">
        <v>408</v>
      </c>
      <c r="C180" s="56" t="s">
        <v>424</v>
      </c>
      <c r="D180" s="56" t="str">
        <f>VLOOKUP(C180,'[2]From July 2022'!$D:$E,2,0)</f>
        <v>NHS NORTH EAST AND NORTH CUMBRIA INTEGRATED CARE BOARD</v>
      </c>
      <c r="E180" s="56" t="s">
        <v>441</v>
      </c>
      <c r="F180" s="56" t="s">
        <v>442</v>
      </c>
      <c r="G180" s="56" t="s">
        <v>48</v>
      </c>
      <c r="H180" s="56">
        <v>430</v>
      </c>
      <c r="I180" s="56">
        <v>8896</v>
      </c>
      <c r="J180" s="65">
        <v>6.3417312661498704</v>
      </c>
      <c r="K180" s="65">
        <v>6.4050387596899219</v>
      </c>
      <c r="L180" s="65">
        <v>6.1492248062015502</v>
      </c>
      <c r="M180" s="86">
        <v>6.4709302325581399</v>
      </c>
    </row>
    <row r="181" spans="1:13">
      <c r="A181" s="56" t="s">
        <v>407</v>
      </c>
      <c r="B181" s="56" t="s">
        <v>408</v>
      </c>
      <c r="C181" s="56" t="s">
        <v>424</v>
      </c>
      <c r="D181" s="56" t="str">
        <f>VLOOKUP(C181,'[2]From July 2022'!$D:$E,2,0)</f>
        <v>NHS NORTH EAST AND NORTH CUMBRIA INTEGRATED CARE BOARD</v>
      </c>
      <c r="E181" s="56" t="s">
        <v>443</v>
      </c>
      <c r="F181" s="56" t="s">
        <v>444</v>
      </c>
      <c r="G181" s="56" t="s">
        <v>55</v>
      </c>
      <c r="H181" s="56">
        <v>2054</v>
      </c>
      <c r="I181" s="56">
        <v>7604</v>
      </c>
      <c r="J181" s="65">
        <v>6.7482203115554036</v>
      </c>
      <c r="K181" s="65">
        <v>6.5238558909444988</v>
      </c>
      <c r="L181" s="65">
        <v>6.774490941157608</v>
      </c>
      <c r="M181" s="86">
        <v>6.9463141025641031</v>
      </c>
    </row>
    <row r="182" spans="1:13">
      <c r="A182" s="56" t="s">
        <v>407</v>
      </c>
      <c r="B182" s="56" t="s">
        <v>408</v>
      </c>
      <c r="C182" s="56" t="s">
        <v>424</v>
      </c>
      <c r="D182" s="56" t="str">
        <f>VLOOKUP(C182,'[2]From July 2022'!$D:$E,2,0)</f>
        <v>NHS NORTH EAST AND NORTH CUMBRIA INTEGRATED CARE BOARD</v>
      </c>
      <c r="E182" s="56" t="s">
        <v>445</v>
      </c>
      <c r="F182" s="56" t="s">
        <v>446</v>
      </c>
      <c r="G182" s="56" t="s">
        <v>48</v>
      </c>
      <c r="H182" s="56">
        <v>535</v>
      </c>
      <c r="I182" s="56">
        <v>16274</v>
      </c>
      <c r="J182" s="65">
        <v>6.3888888888888884</v>
      </c>
      <c r="K182" s="65">
        <v>6.9049844236760123</v>
      </c>
      <c r="L182" s="65">
        <v>6.0171339563862922</v>
      </c>
      <c r="M182" s="86">
        <v>6.2445482866043616</v>
      </c>
    </row>
    <row r="183" spans="1:13">
      <c r="A183" s="56" t="s">
        <v>407</v>
      </c>
      <c r="B183" s="56" t="s">
        <v>408</v>
      </c>
      <c r="C183" s="56" t="s">
        <v>447</v>
      </c>
      <c r="D183" s="56" t="str">
        <f>VLOOKUP(C183,'[2]From July 2022'!$D:$E,2,0)</f>
        <v>NHS HUMBER AND NORTH YORKSHIRE INTEGRATED CARE BOARD</v>
      </c>
      <c r="E183" s="56" t="s">
        <v>448</v>
      </c>
      <c r="F183" s="56" t="s">
        <v>449</v>
      </c>
      <c r="G183" s="56" t="s">
        <v>48</v>
      </c>
      <c r="H183" s="56">
        <v>1220</v>
      </c>
      <c r="I183" s="56">
        <v>4729</v>
      </c>
      <c r="J183" s="65">
        <v>6.9069495618427617</v>
      </c>
      <c r="K183" s="65">
        <v>6.7199453551912569</v>
      </c>
      <c r="L183" s="65">
        <v>6.7741496598639461</v>
      </c>
      <c r="M183" s="86">
        <v>7.2267536704730828</v>
      </c>
    </row>
    <row r="184" spans="1:13">
      <c r="A184" s="56" t="s">
        <v>407</v>
      </c>
      <c r="B184" s="56" t="s">
        <v>408</v>
      </c>
      <c r="C184" s="56" t="s">
        <v>447</v>
      </c>
      <c r="D184" s="56" t="str">
        <f>VLOOKUP(C184,'[2]From July 2022'!$D:$E,2,0)</f>
        <v>NHS HUMBER AND NORTH YORKSHIRE INTEGRATED CARE BOARD</v>
      </c>
      <c r="E184" s="56" t="s">
        <v>450</v>
      </c>
      <c r="F184" s="56" t="s">
        <v>451</v>
      </c>
      <c r="G184" s="56" t="s">
        <v>48</v>
      </c>
      <c r="H184" s="56">
        <v>1473</v>
      </c>
      <c r="I184" s="56">
        <v>8825</v>
      </c>
      <c r="J184" s="65">
        <v>6.4635847864566811</v>
      </c>
      <c r="K184" s="65">
        <v>6.4030323602625021</v>
      </c>
      <c r="L184" s="65">
        <v>6.335</v>
      </c>
      <c r="M184" s="86">
        <v>6.6527219991075413</v>
      </c>
    </row>
    <row r="185" spans="1:13">
      <c r="A185" s="56" t="s">
        <v>407</v>
      </c>
      <c r="B185" s="56" t="s">
        <v>408</v>
      </c>
      <c r="C185" s="56" t="s">
        <v>447</v>
      </c>
      <c r="D185" s="56" t="str">
        <f>VLOOKUP(C185,'[2]From July 2022'!$D:$E,2,0)</f>
        <v>NHS HUMBER AND NORTH YORKSHIRE INTEGRATED CARE BOARD</v>
      </c>
      <c r="E185" s="56" t="s">
        <v>452</v>
      </c>
      <c r="F185" s="56" t="s">
        <v>453</v>
      </c>
      <c r="G185" s="56" t="s">
        <v>55</v>
      </c>
      <c r="H185" s="56">
        <v>591</v>
      </c>
      <c r="I185" s="56">
        <v>3062</v>
      </c>
      <c r="J185" s="65">
        <v>7.0836682078025675</v>
      </c>
      <c r="K185" s="65">
        <v>7.0292299044406965</v>
      </c>
      <c r="L185" s="65">
        <v>7.0489038785834737</v>
      </c>
      <c r="M185" s="86">
        <v>7.1728708403835313</v>
      </c>
    </row>
    <row r="186" spans="1:13">
      <c r="A186" s="56" t="s">
        <v>407</v>
      </c>
      <c r="B186" s="56" t="s">
        <v>408</v>
      </c>
      <c r="C186" s="56" t="s">
        <v>447</v>
      </c>
      <c r="D186" s="56" t="str">
        <f>VLOOKUP(C186,'[2]From July 2022'!$D:$E,2,0)</f>
        <v>NHS HUMBER AND NORTH YORKSHIRE INTEGRATED CARE BOARD</v>
      </c>
      <c r="E186" s="56" t="s">
        <v>454</v>
      </c>
      <c r="F186" s="56" t="s">
        <v>455</v>
      </c>
      <c r="G186" s="56" t="s">
        <v>48</v>
      </c>
      <c r="H186" s="56">
        <v>318</v>
      </c>
      <c r="I186" s="56">
        <v>6514</v>
      </c>
      <c r="J186" s="65">
        <v>5.4690775681341721</v>
      </c>
      <c r="K186" s="65">
        <v>4.9030398322851152</v>
      </c>
      <c r="L186" s="65">
        <v>5.4061844863731663</v>
      </c>
      <c r="M186" s="86">
        <v>6.0980083857442349</v>
      </c>
    </row>
    <row r="187" spans="1:13">
      <c r="A187" s="56" t="s">
        <v>407</v>
      </c>
      <c r="B187" s="56" t="s">
        <v>408</v>
      </c>
      <c r="C187" s="56" t="s">
        <v>447</v>
      </c>
      <c r="D187" s="56" t="str">
        <f>VLOOKUP(C187,'[2]From July 2022'!$D:$E,2,0)</f>
        <v>NHS HUMBER AND NORTH YORKSHIRE INTEGRATED CARE BOARD</v>
      </c>
      <c r="E187" s="56" t="s">
        <v>456</v>
      </c>
      <c r="F187" s="56" t="s">
        <v>457</v>
      </c>
      <c r="G187" s="56" t="s">
        <v>48</v>
      </c>
      <c r="H187" s="56">
        <v>155</v>
      </c>
      <c r="I187" s="56">
        <v>9445</v>
      </c>
      <c r="J187" s="65">
        <v>5.3154121863799277</v>
      </c>
      <c r="K187" s="65">
        <v>4.6881720430107521</v>
      </c>
      <c r="L187" s="65">
        <v>5.5053763440860219</v>
      </c>
      <c r="M187" s="86">
        <v>5.7526881720430101</v>
      </c>
    </row>
    <row r="188" spans="1:13">
      <c r="A188" s="56" t="s">
        <v>407</v>
      </c>
      <c r="B188" s="56" t="s">
        <v>408</v>
      </c>
      <c r="C188" s="56" t="s">
        <v>458</v>
      </c>
      <c r="D188" s="56" t="str">
        <f>VLOOKUP(C188,'[2]From July 2022'!$D:$E,2,0)</f>
        <v>NHS WEST YORKSHIRE INTEGRATED CARE BOARD</v>
      </c>
      <c r="E188" s="56" t="s">
        <v>459</v>
      </c>
      <c r="F188" s="56" t="s">
        <v>460</v>
      </c>
      <c r="G188" s="56" t="s">
        <v>48</v>
      </c>
      <c r="H188" s="56">
        <v>163</v>
      </c>
      <c r="I188" s="56">
        <v>3486</v>
      </c>
      <c r="J188" s="65">
        <v>6.6905248807089288</v>
      </c>
      <c r="K188" s="65">
        <v>6.7331288343558287</v>
      </c>
      <c r="L188" s="65">
        <v>6.6002044989775044</v>
      </c>
      <c r="M188" s="86">
        <v>6.7382413087934552</v>
      </c>
    </row>
    <row r="189" spans="1:13">
      <c r="A189" s="56" t="s">
        <v>407</v>
      </c>
      <c r="B189" s="56" t="s">
        <v>408</v>
      </c>
      <c r="C189" s="56" t="s">
        <v>458</v>
      </c>
      <c r="D189" s="56" t="str">
        <f>VLOOKUP(C189,'[2]From July 2022'!$D:$E,2,0)</f>
        <v>NHS WEST YORKSHIRE INTEGRATED CARE BOARD</v>
      </c>
      <c r="E189" s="56" t="s">
        <v>461</v>
      </c>
      <c r="F189" s="56" t="s">
        <v>462</v>
      </c>
      <c r="G189" s="56" t="s">
        <v>55</v>
      </c>
      <c r="H189" s="56">
        <v>399</v>
      </c>
      <c r="I189" s="56">
        <v>3247</v>
      </c>
      <c r="J189" s="65">
        <v>6.7921518259489124</v>
      </c>
      <c r="K189" s="65">
        <v>6.7293233082706765</v>
      </c>
      <c r="L189" s="65">
        <v>6.7622610141313375</v>
      </c>
      <c r="M189" s="86">
        <v>6.8848711554447215</v>
      </c>
    </row>
    <row r="190" spans="1:13">
      <c r="A190" s="56" t="s">
        <v>407</v>
      </c>
      <c r="B190" s="56" t="s">
        <v>408</v>
      </c>
      <c r="C190" s="56" t="s">
        <v>458</v>
      </c>
      <c r="D190" s="56" t="str">
        <f>VLOOKUP(C190,'[2]From July 2022'!$D:$E,2,0)</f>
        <v>NHS WEST YORKSHIRE INTEGRATED CARE BOARD</v>
      </c>
      <c r="E190" s="56" t="s">
        <v>463</v>
      </c>
      <c r="F190" s="56" t="s">
        <v>464</v>
      </c>
      <c r="G190" s="56" t="s">
        <v>48</v>
      </c>
      <c r="H190" s="56">
        <v>164</v>
      </c>
      <c r="I190" s="56">
        <v>6226</v>
      </c>
      <c r="J190" s="65">
        <v>6.5565718157181578</v>
      </c>
      <c r="K190" s="65">
        <v>6.524390243902439</v>
      </c>
      <c r="L190" s="65">
        <v>6.4430894308943092</v>
      </c>
      <c r="M190" s="86">
        <v>6.7022357723577244</v>
      </c>
    </row>
    <row r="191" spans="1:13">
      <c r="A191" s="56" t="s">
        <v>407</v>
      </c>
      <c r="B191" s="56" t="s">
        <v>408</v>
      </c>
      <c r="C191" s="56" t="s">
        <v>458</v>
      </c>
      <c r="D191" s="56" t="str">
        <f>VLOOKUP(C191,'[2]From July 2022'!$D:$E,2,0)</f>
        <v>NHS WEST YORKSHIRE INTEGRATED CARE BOARD</v>
      </c>
      <c r="E191" s="56" t="s">
        <v>465</v>
      </c>
      <c r="F191" s="56" t="s">
        <v>466</v>
      </c>
      <c r="G191" s="56" t="s">
        <v>48</v>
      </c>
      <c r="H191" s="56">
        <v>236</v>
      </c>
      <c r="I191" s="56">
        <v>6344</v>
      </c>
      <c r="J191" s="65">
        <v>6.2511770244821081</v>
      </c>
      <c r="K191" s="65">
        <v>6.253531073446327</v>
      </c>
      <c r="L191" s="65">
        <v>6.2394067796610173</v>
      </c>
      <c r="M191" s="86">
        <v>6.2605932203389827</v>
      </c>
    </row>
    <row r="192" spans="1:13">
      <c r="A192" s="56" t="s">
        <v>407</v>
      </c>
      <c r="B192" s="56" t="s">
        <v>408</v>
      </c>
      <c r="C192" s="56" t="s">
        <v>458</v>
      </c>
      <c r="D192" s="56" t="str">
        <f>VLOOKUP(C192,'[2]From July 2022'!$D:$E,2,0)</f>
        <v>NHS WEST YORKSHIRE INTEGRATED CARE BOARD</v>
      </c>
      <c r="E192" s="56" t="s">
        <v>467</v>
      </c>
      <c r="F192" s="56" t="s">
        <v>468</v>
      </c>
      <c r="G192" s="56" t="s">
        <v>55</v>
      </c>
      <c r="H192" s="56">
        <v>132</v>
      </c>
      <c r="I192" s="56">
        <v>3088</v>
      </c>
      <c r="J192" s="65">
        <v>6.900252525252526</v>
      </c>
      <c r="K192" s="65">
        <v>6.7739898989898988</v>
      </c>
      <c r="L192" s="65">
        <v>7.1212121212121211</v>
      </c>
      <c r="M192" s="86">
        <v>6.8055555555555562</v>
      </c>
    </row>
    <row r="193" spans="1:13">
      <c r="A193" s="56" t="s">
        <v>407</v>
      </c>
      <c r="B193" s="56" t="s">
        <v>408</v>
      </c>
      <c r="C193" s="56" t="s">
        <v>458</v>
      </c>
      <c r="D193" s="56" t="str">
        <f>VLOOKUP(C193,'[2]From July 2022'!$D:$E,2,0)</f>
        <v>NHS WEST YORKSHIRE INTEGRATED CARE BOARD</v>
      </c>
      <c r="E193" s="56" t="s">
        <v>469</v>
      </c>
      <c r="F193" s="56" t="s">
        <v>470</v>
      </c>
      <c r="G193" s="56" t="s">
        <v>88</v>
      </c>
      <c r="H193" s="56">
        <v>935</v>
      </c>
      <c r="I193" s="56">
        <v>3146</v>
      </c>
      <c r="J193" s="65">
        <v>6.8116671111429001</v>
      </c>
      <c r="K193" s="65">
        <v>6.9936373276776242</v>
      </c>
      <c r="L193" s="65">
        <v>6.6374424371236271</v>
      </c>
      <c r="M193" s="86">
        <v>6.8039215686274517</v>
      </c>
    </row>
    <row r="194" spans="1:13">
      <c r="A194" s="56" t="s">
        <v>407</v>
      </c>
      <c r="B194" s="56" t="s">
        <v>408</v>
      </c>
      <c r="C194" s="56" t="s">
        <v>458</v>
      </c>
      <c r="D194" s="56" t="str">
        <f>VLOOKUP(C194,'[2]From July 2022'!$D:$E,2,0)</f>
        <v>NHS WEST YORKSHIRE INTEGRATED CARE BOARD</v>
      </c>
      <c r="E194" s="56" t="s">
        <v>471</v>
      </c>
      <c r="F194" s="56" t="s">
        <v>472</v>
      </c>
      <c r="G194" s="56" t="s">
        <v>48</v>
      </c>
      <c r="H194" s="56">
        <v>1850</v>
      </c>
      <c r="I194" s="56">
        <v>8839</v>
      </c>
      <c r="J194" s="65">
        <v>6.5579665742615925</v>
      </c>
      <c r="K194" s="65">
        <v>6.4238738738738732</v>
      </c>
      <c r="L194" s="65">
        <v>6.3365453247680223</v>
      </c>
      <c r="M194" s="86">
        <v>6.9134805241428827</v>
      </c>
    </row>
    <row r="195" spans="1:13">
      <c r="A195" s="56" t="s">
        <v>407</v>
      </c>
      <c r="B195" s="56" t="s">
        <v>408</v>
      </c>
      <c r="C195" s="56" t="s">
        <v>458</v>
      </c>
      <c r="D195" s="56" t="str">
        <f>VLOOKUP(C195,'[2]From July 2022'!$D:$E,2,0)</f>
        <v>NHS WEST YORKSHIRE INTEGRATED CARE BOARD</v>
      </c>
      <c r="E195" s="56" t="s">
        <v>473</v>
      </c>
      <c r="F195" s="56" t="s">
        <v>474</v>
      </c>
      <c r="G195" s="56" t="s">
        <v>55</v>
      </c>
      <c r="H195" s="56">
        <v>168</v>
      </c>
      <c r="I195" s="56">
        <v>4520</v>
      </c>
      <c r="J195" s="65">
        <v>7.5183639366331674</v>
      </c>
      <c r="K195" s="65">
        <v>7.6438492063492065</v>
      </c>
      <c r="L195" s="65">
        <v>7.4654832347140045</v>
      </c>
      <c r="M195" s="86">
        <v>7.4457593688362911</v>
      </c>
    </row>
    <row r="196" spans="1:13">
      <c r="A196" s="57" t="s">
        <v>407</v>
      </c>
      <c r="B196" s="57" t="s">
        <v>408</v>
      </c>
      <c r="C196" s="57" t="s">
        <v>458</v>
      </c>
      <c r="D196" s="57" t="str">
        <f>VLOOKUP(C196,'[2]From July 2022'!$D:$E,2,0)</f>
        <v>NHS WEST YORKSHIRE INTEGRATED CARE BOARD</v>
      </c>
      <c r="E196" s="57" t="s">
        <v>475</v>
      </c>
      <c r="F196" s="57" t="s">
        <v>476</v>
      </c>
      <c r="G196" s="57" t="s">
        <v>178</v>
      </c>
      <c r="H196" s="57">
        <v>395</v>
      </c>
      <c r="I196" s="57">
        <v>5792</v>
      </c>
      <c r="J196" s="66">
        <v>5.7369901547116733</v>
      </c>
      <c r="K196" s="66">
        <v>5.9662447257383961</v>
      </c>
      <c r="L196" s="66">
        <v>5.3164556962025316</v>
      </c>
      <c r="M196" s="87">
        <v>5.9282700421940921</v>
      </c>
    </row>
  </sheetData>
  <mergeCells count="13">
    <mergeCell ref="F7:F8"/>
    <mergeCell ref="A7:A8"/>
    <mergeCell ref="B7:B8"/>
    <mergeCell ref="C7:C8"/>
    <mergeCell ref="D7:D8"/>
    <mergeCell ref="E7:E8"/>
    <mergeCell ref="M7:M8"/>
    <mergeCell ref="G7:G8"/>
    <mergeCell ref="H7:H8"/>
    <mergeCell ref="I7:I8"/>
    <mergeCell ref="J7:J8"/>
    <mergeCell ref="K7:K8"/>
    <mergeCell ref="L7:L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Engagement">
              <controlPr defaultSize="0" autoFill="0" autoPict="0" macro="[0]!Engagement">
                <anchor>
                  <from>
                    <xdr:col>4</xdr:col>
                    <xdr:colOff>326445</xdr:colOff>
                    <xdr:row>1</xdr:row>
                    <xdr:rowOff>110225</xdr:rowOff>
                  </from>
                  <to>
                    <xdr:col>5</xdr:col>
                    <xdr:colOff>947720</xdr:colOff>
                    <xdr:row>2</xdr:row>
                    <xdr:rowOff>192902</xdr:rowOff>
                  </to>
                </anchor>
              </controlPr>
            </control>
          </mc:Choice>
        </mc:AlternateContent>
        <mc:AlternateContent xmlns:mc="http://schemas.openxmlformats.org/markup-compatibility/2006">
          <mc:Choice Requires="x14">
            <control shapeId="3074" r:id="rId5" name="Advocacy">
              <controlPr defaultSize="0" autoFill="0" autoPict="0" macro="[0]!Advocacy">
                <anchor>
                  <from>
                    <xdr:col>5</xdr:col>
                    <xdr:colOff>1080810</xdr:colOff>
                    <xdr:row>1</xdr:row>
                    <xdr:rowOff>110225</xdr:rowOff>
                  </from>
                  <to>
                    <xdr:col>5</xdr:col>
                    <xdr:colOff>2340260</xdr:colOff>
                    <xdr:row>2</xdr:row>
                    <xdr:rowOff>192902</xdr:rowOff>
                  </to>
                </anchor>
              </controlPr>
            </control>
          </mc:Choice>
        </mc:AlternateContent>
        <mc:AlternateContent xmlns:mc="http://schemas.openxmlformats.org/markup-compatibility/2006">
          <mc:Choice Requires="x14">
            <control shapeId="3075" r:id="rId6" name="Notes">
              <controlPr defaultSize="0" autoFill="0" autoPict="0" macro="[0]!Notes">
                <anchor>
                  <from>
                    <xdr:col>1</xdr:col>
                    <xdr:colOff>323372</xdr:colOff>
                    <xdr:row>1</xdr:row>
                    <xdr:rowOff>110225</xdr:rowOff>
                  </from>
                  <to>
                    <xdr:col>1</xdr:col>
                    <xdr:colOff>1582822</xdr:colOff>
                    <xdr:row>2</xdr:row>
                    <xdr:rowOff>192902</xdr:rowOff>
                  </to>
                </anchor>
              </controlPr>
            </control>
          </mc:Choice>
        </mc:AlternateContent>
        <mc:AlternateContent xmlns:mc="http://schemas.openxmlformats.org/markup-compatibility/2006">
          <mc:Choice Requires="x14">
            <control shapeId="3076" r:id="rId7" name="Summary">
              <controlPr defaultSize="0" autoFill="0" autoPict="0" macro="[0]!Summary">
                <anchor moveWithCells="1" sizeWithCells="1">
                  <from>
                    <xdr:col>1</xdr:col>
                    <xdr:colOff>1757892</xdr:colOff>
                    <xdr:row>1</xdr:row>
                    <xdr:rowOff>110225</xdr:rowOff>
                  </from>
                  <to>
                    <xdr:col>1</xdr:col>
                    <xdr:colOff>3017342</xdr:colOff>
                    <xdr:row>2</xdr:row>
                    <xdr:rowOff>192902</xdr:rowOff>
                  </to>
                </anchor>
              </controlPr>
            </control>
          </mc:Choice>
        </mc:AlternateContent>
        <mc:AlternateContent xmlns:mc="http://schemas.openxmlformats.org/markup-compatibility/2006">
          <mc:Choice Requires="x14">
            <control shapeId="3077" r:id="rId8" name="Involvement">
              <controlPr defaultSize="0" autoFill="0" autoPict="0" macro="[0]!Involvement">
                <anchor>
                  <from>
                    <xdr:col>5</xdr:col>
                    <xdr:colOff>2473351</xdr:colOff>
                    <xdr:row>1</xdr:row>
                    <xdr:rowOff>110225</xdr:rowOff>
                  </from>
                  <to>
                    <xdr:col>5</xdr:col>
                    <xdr:colOff>3732801</xdr:colOff>
                    <xdr:row>2</xdr:row>
                    <xdr:rowOff>192902</xdr:rowOff>
                  </to>
                </anchor>
              </controlPr>
            </control>
          </mc:Choice>
        </mc:AlternateContent>
        <mc:AlternateContent xmlns:mc="http://schemas.openxmlformats.org/markup-compatibility/2006">
          <mc:Choice Requires="x14">
            <control shapeId="3078" r:id="rId9" name="Motivation">
              <controlPr defaultSize="0" autoFill="0" autoPict="0" macro="[0]!Motivation">
                <anchor>
                  <from>
                    <xdr:col>5</xdr:col>
                    <xdr:colOff>3865892</xdr:colOff>
                    <xdr:row>1</xdr:row>
                    <xdr:rowOff>118470</xdr:rowOff>
                  </from>
                  <to>
                    <xdr:col>5</xdr:col>
                    <xdr:colOff>5125342</xdr:colOff>
                    <xdr:row>3</xdr:row>
                    <xdr:rowOff>1122</xdr:rowOff>
                  </to>
                </anchor>
              </controlPr>
            </control>
          </mc:Choice>
        </mc:AlternateContent>
        <mc:AlternateContent xmlns:mc="http://schemas.openxmlformats.org/markup-compatibility/2006">
          <mc:Choice Requires="x14">
            <control shapeId="3079" r:id="rId10" name="Breakdown">
              <controlPr defaultSize="0" autoFill="0" autoPict="0" macro="[0]!Breakdown">
                <anchor>
                  <from>
                    <xdr:col>3</xdr:col>
                    <xdr:colOff>1808565</xdr:colOff>
                    <xdr:row>1</xdr:row>
                    <xdr:rowOff>110225</xdr:rowOff>
                  </from>
                  <to>
                    <xdr:col>3</xdr:col>
                    <xdr:colOff>3068015</xdr:colOff>
                    <xdr:row>2</xdr:row>
                    <xdr:rowOff>192902</xdr:rowOff>
                  </to>
                </anchor>
              </controlPr>
            </control>
          </mc:Choice>
        </mc:AlternateContent>
        <mc:AlternateContent xmlns:mc="http://schemas.openxmlformats.org/markup-compatibility/2006">
          <mc:Choice Requires="x14">
            <control shapeId="3080" r:id="rId11" name="Scores">
              <controlPr defaultSize="0" autoFill="0" autoPict="0" macro="[1]!MacrosForWebfileForMalwina.Scores">
                <anchor>
                  <from>
                    <xdr:col>3</xdr:col>
                    <xdr:colOff>3201105</xdr:colOff>
                    <xdr:row>1</xdr:row>
                    <xdr:rowOff>110225</xdr:rowOff>
                  </from>
                  <to>
                    <xdr:col>4</xdr:col>
                    <xdr:colOff>193355</xdr:colOff>
                    <xdr:row>2</xdr:row>
                    <xdr:rowOff>192902</xdr:rowOff>
                  </to>
                </anchor>
              </controlPr>
            </control>
          </mc:Choice>
        </mc:AlternateContent>
        <mc:AlternateContent xmlns:mc="http://schemas.openxmlformats.org/markup-compatibility/2006">
          <mc:Choice Requires="x14">
            <control shapeId="3081" r:id="rId12" name="Region code">
              <controlPr defaultSize="0" autoLine="0" autoPict="0" macro="[0]!FilterListsRegionCode">
                <anchor>
                  <from>
                    <xdr:col>3</xdr:col>
                    <xdr:colOff>2955400</xdr:colOff>
                    <xdr:row>4</xdr:row>
                    <xdr:rowOff>122708</xdr:rowOff>
                  </from>
                  <to>
                    <xdr:col>3</xdr:col>
                    <xdr:colOff>3604672</xdr:colOff>
                    <xdr:row>4</xdr:row>
                    <xdr:rowOff>350952</xdr:rowOff>
                  </to>
                </anchor>
              </controlPr>
            </control>
          </mc:Choice>
        </mc:AlternateContent>
        <mc:AlternateContent xmlns:mc="http://schemas.openxmlformats.org/markup-compatibility/2006">
          <mc:Choice Requires="x14">
            <control shapeId="3082" r:id="rId13" name="Reset">
              <controlPr defaultSize="0" autoFill="0" autoPict="0" macro="[0]!Reset">
                <anchor>
                  <from>
                    <xdr:col>5</xdr:col>
                    <xdr:colOff>1875641</xdr:colOff>
                    <xdr:row>4</xdr:row>
                    <xdr:rowOff>122708</xdr:rowOff>
                  </from>
                  <to>
                    <xdr:col>5</xdr:col>
                    <xdr:colOff>2830453</xdr:colOff>
                    <xdr:row>4</xdr:row>
                    <xdr:rowOff>446054</xdr:rowOff>
                  </to>
                </anchor>
              </controlPr>
            </control>
          </mc:Choice>
        </mc:AlternateContent>
        <mc:AlternateContent xmlns:mc="http://schemas.openxmlformats.org/markup-compatibility/2006">
          <mc:Choice Requires="x14">
            <control shapeId="3083" r:id="rId14" name="Region name">
              <controlPr defaultSize="0" autoLine="0" autoPict="0" macro="[0]!FilterListsRegionName">
                <anchor>
                  <from>
                    <xdr:col>3</xdr:col>
                    <xdr:colOff>3652413</xdr:colOff>
                    <xdr:row>4</xdr:row>
                    <xdr:rowOff>122708</xdr:rowOff>
                  </from>
                  <to>
                    <xdr:col>5</xdr:col>
                    <xdr:colOff>1654972</xdr:colOff>
                    <xdr:row>4</xdr:row>
                    <xdr:rowOff>350952</xdr:rowOff>
                  </to>
                </anchor>
              </controlPr>
            </control>
          </mc:Choice>
        </mc:AlternateContent>
        <mc:AlternateContent xmlns:mc="http://schemas.openxmlformats.org/markup-compatibility/2006">
          <mc:Choice Requires="x14">
            <control shapeId="3084" r:id="rId15" name="STP Code">
              <controlPr defaultSize="0" autoLine="0" autoPict="0" macro="[0]!FilterListsSTPCode">
                <anchor>
                  <from>
                    <xdr:col>3</xdr:col>
                    <xdr:colOff>2955400</xdr:colOff>
                    <xdr:row>4</xdr:row>
                    <xdr:rowOff>398502</xdr:rowOff>
                  </from>
                  <to>
                    <xdr:col>3</xdr:col>
                    <xdr:colOff>3604672</xdr:colOff>
                    <xdr:row>4</xdr:row>
                    <xdr:rowOff>626746</xdr:rowOff>
                  </to>
                </anchor>
              </controlPr>
            </control>
          </mc:Choice>
        </mc:AlternateContent>
        <mc:AlternateContent xmlns:mc="http://schemas.openxmlformats.org/markup-compatibility/2006">
          <mc:Choice Requires="x14">
            <control shapeId="3085" r:id="rId16" name="STP Name">
              <controlPr defaultSize="0" autoLine="0" autoPict="0" macro="[0]!FilterListsSTPName">
                <anchor>
                  <from>
                    <xdr:col>3</xdr:col>
                    <xdr:colOff>3652413</xdr:colOff>
                    <xdr:row>4</xdr:row>
                    <xdr:rowOff>398502</xdr:rowOff>
                  </from>
                  <to>
                    <xdr:col>5</xdr:col>
                    <xdr:colOff>1654972</xdr:colOff>
                    <xdr:row>4</xdr:row>
                    <xdr:rowOff>626746</xdr:rowOff>
                  </to>
                </anchor>
              </controlPr>
            </control>
          </mc:Choice>
        </mc:AlternateContent>
        <mc:AlternateContent xmlns:mc="http://schemas.openxmlformats.org/markup-compatibility/2006">
          <mc:Choice Requires="x14">
            <control shapeId="3086" r:id="rId17" name="Org Code">
              <controlPr defaultSize="0" autoLine="0" autoPict="0" macro="[0]!FilterListsOrgCode">
                <anchor>
                  <from>
                    <xdr:col>3</xdr:col>
                    <xdr:colOff>2955400</xdr:colOff>
                    <xdr:row>4</xdr:row>
                    <xdr:rowOff>684865</xdr:rowOff>
                  </from>
                  <to>
                    <xdr:col>3</xdr:col>
                    <xdr:colOff>3604672</xdr:colOff>
                    <xdr:row>4</xdr:row>
                    <xdr:rowOff>913109</xdr:rowOff>
                  </to>
                </anchor>
              </controlPr>
            </control>
          </mc:Choice>
        </mc:AlternateContent>
        <mc:AlternateContent xmlns:mc="http://schemas.openxmlformats.org/markup-compatibility/2006">
          <mc:Choice Requires="x14">
            <control shapeId="3087" r:id="rId18" name="Org Name">
              <controlPr defaultSize="0" autoLine="0" autoPict="0" macro="[0]!FilterListsOrgName">
                <anchor>
                  <from>
                    <xdr:col>3</xdr:col>
                    <xdr:colOff>3652413</xdr:colOff>
                    <xdr:row>4</xdr:row>
                    <xdr:rowOff>684865</xdr:rowOff>
                  </from>
                  <to>
                    <xdr:col>5</xdr:col>
                    <xdr:colOff>1654972</xdr:colOff>
                    <xdr:row>4</xdr:row>
                    <xdr:rowOff>913109</xdr:rowOff>
                  </to>
                </anchor>
              </controlPr>
            </control>
          </mc:Choice>
        </mc:AlternateContent>
        <mc:AlternateContent xmlns:mc="http://schemas.openxmlformats.org/markup-compatibility/2006">
          <mc:Choice Requires="x14">
            <control shapeId="3088" r:id="rId19" name="Setting">
              <controlPr defaultSize="0" autoLine="0" autoPict="0" macro="[0]!FilterCareSetting">
                <anchor>
                  <from>
                    <xdr:col>3</xdr:col>
                    <xdr:colOff>2955400</xdr:colOff>
                    <xdr:row>4</xdr:row>
                    <xdr:rowOff>972283</xdr:rowOff>
                  </from>
                  <to>
                    <xdr:col>5</xdr:col>
                    <xdr:colOff>121967</xdr:colOff>
                    <xdr:row>4</xdr:row>
                    <xdr:rowOff>1210037</xdr:rowOff>
                  </to>
                </anchor>
              </controlPr>
            </control>
          </mc:Choice>
        </mc:AlternateContent>
        <mc:AlternateContent xmlns:mc="http://schemas.openxmlformats.org/markup-compatibility/2006">
          <mc:Choice Requires="x14">
            <control shapeId="3089" r:id="rId20" name="Drop Down Sort">
              <controlPr defaultSize="0" autoLine="0" autoPict="0">
                <anchor>
                  <from>
                    <xdr:col>1</xdr:col>
                    <xdr:colOff>1135142</xdr:colOff>
                    <xdr:row>4</xdr:row>
                    <xdr:rowOff>143842</xdr:rowOff>
                  </from>
                  <to>
                    <xdr:col>1</xdr:col>
                    <xdr:colOff>3082959</xdr:colOff>
                    <xdr:row>4</xdr:row>
                    <xdr:rowOff>391107</xdr:rowOff>
                  </to>
                </anchor>
              </controlPr>
            </control>
          </mc:Choice>
        </mc:AlternateContent>
        <mc:AlternateContent xmlns:mc="http://schemas.openxmlformats.org/markup-compatibility/2006">
          <mc:Choice Requires="x14">
            <control shapeId="3090" r:id="rId21" name="sort">
              <controlPr defaultSize="0" autoFill="0" autoPict="0" macro="[0]!_xludf.Sort">
                <anchor>
                  <from>
                    <xdr:col>1</xdr:col>
                    <xdr:colOff>3336513</xdr:colOff>
                    <xdr:row>4</xdr:row>
                    <xdr:rowOff>122706</xdr:rowOff>
                  </from>
                  <to>
                    <xdr:col>3</xdr:col>
                    <xdr:colOff>16699</xdr:colOff>
                    <xdr:row>4</xdr:row>
                    <xdr:rowOff>446052</xdr:rowOff>
                  </to>
                </anchor>
              </controlPr>
            </control>
          </mc:Choice>
        </mc:AlternateContent>
        <mc:AlternateContent xmlns:mc="http://schemas.openxmlformats.org/markup-compatibility/2006">
          <mc:Choice Requires="x14">
            <control shapeId="3091" r:id="rId22" name="Low">
              <controlPr defaultSize="0" autoFill="0" autoLine="0" autoPict="0">
                <anchor>
                  <from>
                    <xdr:col>1</xdr:col>
                    <xdr:colOff>915535</xdr:colOff>
                    <xdr:row>4</xdr:row>
                    <xdr:rowOff>457678</xdr:rowOff>
                  </from>
                  <to>
                    <xdr:col>1</xdr:col>
                    <xdr:colOff>2013569</xdr:colOff>
                    <xdr:row>4</xdr:row>
                    <xdr:rowOff>781024</xdr:rowOff>
                  </to>
                </anchor>
              </controlPr>
            </control>
          </mc:Choice>
        </mc:AlternateContent>
        <mc:AlternateContent xmlns:mc="http://schemas.openxmlformats.org/markup-compatibility/2006">
          <mc:Choice Requires="x14">
            <control shapeId="3092" r:id="rId23" name="High">
              <controlPr defaultSize="0" autoFill="0" autoLine="0" autoPict="0">
                <anchor>
                  <from>
                    <xdr:col>1</xdr:col>
                    <xdr:colOff>2147243</xdr:colOff>
                    <xdr:row>4</xdr:row>
                    <xdr:rowOff>476698</xdr:rowOff>
                  </from>
                  <to>
                    <xdr:col>1</xdr:col>
                    <xdr:colOff>3111603</xdr:colOff>
                    <xdr:row>4</xdr:row>
                    <xdr:rowOff>771513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F71D5-87B0-4A6F-8B32-B99FD8B5CCD0}">
  <sheetPr codeName="Sheet28">
    <tabColor theme="3" tint="0.59999389629810485"/>
  </sheetPr>
  <dimension ref="A1:S208"/>
  <sheetViews>
    <sheetView workbookViewId="0">
      <selection activeCell="D7" sqref="D7:D8"/>
    </sheetView>
  </sheetViews>
  <sheetFormatPr defaultColWidth="9.140625" defaultRowHeight="14.45"/>
  <cols>
    <col min="1" max="1" width="9.5703125" style="12" customWidth="1"/>
    <col min="2" max="2" width="54.42578125" style="12" customWidth="1"/>
    <col min="3" max="3" width="9.5703125" style="12" customWidth="1"/>
    <col min="4" max="4" width="64" style="12" customWidth="1"/>
    <col min="5" max="5" width="9.5703125" style="12" customWidth="1"/>
    <col min="6" max="6" width="88.42578125" style="12" customWidth="1"/>
    <col min="7" max="7" width="81.85546875" style="12" bestFit="1" customWidth="1"/>
    <col min="8" max="8" width="18.42578125" style="12" bestFit="1" customWidth="1"/>
    <col min="9" max="9" width="12.5703125" style="12" customWidth="1"/>
    <col min="10" max="10" width="17.140625" style="73" customWidth="1"/>
    <col min="11" max="11" width="10.42578125" style="12" customWidth="1"/>
    <col min="12" max="12" width="18.85546875" style="12" customWidth="1"/>
    <col min="13" max="13" width="8.42578125" style="12" customWidth="1"/>
    <col min="14" max="14" width="10" style="12" customWidth="1"/>
    <col min="15" max="15" width="10.42578125" style="12" customWidth="1"/>
    <col min="16" max="16" width="18.85546875" style="12" customWidth="1"/>
    <col min="17" max="17" width="8.42578125" style="12" customWidth="1"/>
    <col min="18" max="18" width="10" style="12" customWidth="1"/>
    <col min="19" max="19" width="9.140625" style="12" customWidth="1"/>
    <col min="20" max="16384" width="9.140625" style="44"/>
  </cols>
  <sheetData>
    <row r="1" spans="1:19" ht="15" customHeight="1">
      <c r="A1" s="44"/>
      <c r="B1" s="44"/>
      <c r="C1" s="44"/>
      <c r="D1" s="44"/>
      <c r="E1" s="44"/>
      <c r="F1" s="44"/>
      <c r="G1" s="44"/>
      <c r="H1" s="44"/>
      <c r="I1" s="44"/>
      <c r="J1" s="67"/>
      <c r="K1" s="44"/>
      <c r="L1" s="44"/>
      <c r="M1" s="44"/>
      <c r="N1" s="44"/>
      <c r="O1" s="44"/>
      <c r="P1" s="44"/>
      <c r="Q1" s="44"/>
      <c r="R1" s="44"/>
      <c r="S1" s="44"/>
    </row>
    <row r="2" spans="1:19" ht="30" customHeight="1">
      <c r="A2" s="44"/>
      <c r="B2" s="44"/>
      <c r="C2" s="44"/>
      <c r="D2" s="44"/>
      <c r="E2" s="44"/>
      <c r="F2" s="44"/>
      <c r="G2" s="44"/>
      <c r="H2" s="44"/>
      <c r="I2" s="44"/>
      <c r="J2" s="67"/>
      <c r="K2" s="44"/>
      <c r="L2" s="44"/>
      <c r="M2" s="44"/>
      <c r="N2" s="44"/>
      <c r="O2" s="44"/>
      <c r="P2" s="44"/>
      <c r="Q2" s="44"/>
      <c r="R2" s="44"/>
      <c r="S2" s="44"/>
    </row>
    <row r="3" spans="1:19" ht="15.75" customHeight="1">
      <c r="A3" s="44"/>
      <c r="B3" s="44"/>
      <c r="C3" s="44"/>
      <c r="D3" s="44"/>
      <c r="E3" s="44"/>
      <c r="F3" s="44"/>
      <c r="G3" s="44"/>
      <c r="H3" s="44"/>
      <c r="I3" s="44"/>
      <c r="J3" s="67"/>
      <c r="K3" s="44"/>
      <c r="L3" s="44"/>
      <c r="M3" s="44"/>
      <c r="N3" s="44"/>
      <c r="O3" s="44"/>
      <c r="P3" s="44"/>
      <c r="Q3" s="44"/>
      <c r="R3" s="44"/>
      <c r="S3" s="44"/>
    </row>
    <row r="4" spans="1:19" ht="15" customHeight="1">
      <c r="A4" s="44"/>
      <c r="B4" s="44"/>
      <c r="C4" s="44"/>
      <c r="D4" s="44"/>
      <c r="E4" s="44"/>
      <c r="F4" s="44"/>
      <c r="G4" s="44"/>
      <c r="H4" s="44"/>
      <c r="I4" s="44"/>
      <c r="J4" s="68"/>
      <c r="K4" s="44"/>
      <c r="L4" s="44"/>
      <c r="M4" s="44"/>
      <c r="N4" s="44"/>
      <c r="O4" s="44"/>
      <c r="P4" s="44"/>
      <c r="Q4" s="44"/>
      <c r="R4" s="44"/>
      <c r="S4" s="44"/>
    </row>
    <row r="5" spans="1:19" ht="97.5" customHeight="1">
      <c r="A5" s="44"/>
      <c r="B5" s="44"/>
      <c r="C5" s="44"/>
      <c r="D5" s="44"/>
      <c r="E5" s="44"/>
      <c r="F5" s="44"/>
      <c r="G5" s="44"/>
      <c r="H5" s="44"/>
      <c r="I5" s="44"/>
      <c r="J5" s="67"/>
      <c r="K5" s="44"/>
      <c r="L5" s="44"/>
      <c r="M5" s="44"/>
      <c r="N5" s="44"/>
      <c r="O5" s="44"/>
      <c r="P5" s="44"/>
      <c r="Q5" s="44"/>
      <c r="R5" s="44"/>
      <c r="S5" s="44"/>
    </row>
    <row r="6" spans="1:19" ht="9.75" customHeight="1">
      <c r="A6" s="44"/>
      <c r="B6" s="44"/>
      <c r="C6" s="44"/>
      <c r="D6" s="44"/>
      <c r="E6" s="44"/>
      <c r="F6" s="46"/>
      <c r="G6" s="46"/>
      <c r="H6" s="47"/>
      <c r="I6" s="44"/>
      <c r="J6" s="67"/>
      <c r="K6" s="44"/>
      <c r="L6" s="44"/>
      <c r="M6" s="44"/>
      <c r="N6" s="44"/>
      <c r="O6" s="44"/>
      <c r="P6" s="44"/>
      <c r="Q6" s="44"/>
      <c r="R6" s="44"/>
      <c r="S6" s="44"/>
    </row>
    <row r="7" spans="1:19" s="49" customFormat="1" ht="15.75" customHeight="1">
      <c r="A7" s="110" t="s">
        <v>32</v>
      </c>
      <c r="B7" s="110" t="s">
        <v>33</v>
      </c>
      <c r="C7" s="110" t="s">
        <v>34</v>
      </c>
      <c r="D7" s="102" t="s">
        <v>35</v>
      </c>
      <c r="E7" s="110" t="s">
        <v>36</v>
      </c>
      <c r="F7" s="102" t="s">
        <v>37</v>
      </c>
      <c r="G7" s="102" t="s">
        <v>38</v>
      </c>
      <c r="H7" s="104" t="s">
        <v>39</v>
      </c>
      <c r="I7" s="106" t="s">
        <v>40</v>
      </c>
      <c r="J7" s="108" t="s">
        <v>41</v>
      </c>
    </row>
    <row r="8" spans="1:19" s="49" customFormat="1" ht="33" customHeight="1">
      <c r="A8" s="110"/>
      <c r="B8" s="110"/>
      <c r="C8" s="102"/>
      <c r="D8" s="103"/>
      <c r="E8" s="102"/>
      <c r="F8" s="103"/>
      <c r="G8" s="103"/>
      <c r="H8" s="105"/>
      <c r="I8" s="107"/>
      <c r="J8" s="109"/>
    </row>
    <row r="9" spans="1:19" s="54" customFormat="1" ht="13.5">
      <c r="A9" s="50"/>
      <c r="B9" s="51"/>
      <c r="C9" s="51"/>
      <c r="D9" s="51"/>
      <c r="E9" s="51"/>
      <c r="F9" s="51"/>
      <c r="G9" s="52" t="s">
        <v>42</v>
      </c>
      <c r="H9" s="58">
        <v>127021</v>
      </c>
      <c r="I9" s="58">
        <v>1180653</v>
      </c>
      <c r="J9" s="69">
        <v>6.6151309238954923</v>
      </c>
    </row>
    <row r="10" spans="1:19" ht="15" customHeight="1">
      <c r="A10" s="55" t="s">
        <v>43</v>
      </c>
      <c r="B10" s="55" t="s">
        <v>44</v>
      </c>
      <c r="C10" s="55" t="s">
        <v>45</v>
      </c>
      <c r="D10" s="55" t="s">
        <v>477</v>
      </c>
      <c r="E10" s="55" t="s">
        <v>46</v>
      </c>
      <c r="F10" s="55" t="s">
        <v>47</v>
      </c>
      <c r="G10" s="55" t="s">
        <v>48</v>
      </c>
      <c r="H10" s="55">
        <v>2705</v>
      </c>
      <c r="I10" s="55">
        <v>22169</v>
      </c>
      <c r="J10" s="70">
        <v>6.9244828256609052</v>
      </c>
      <c r="L10" s="54"/>
      <c r="M10" s="54"/>
      <c r="N10" s="54"/>
      <c r="O10" s="54"/>
      <c r="P10" s="54"/>
      <c r="Q10" s="54"/>
      <c r="R10" s="54"/>
    </row>
    <row r="11" spans="1:19" ht="15" customHeight="1">
      <c r="A11" s="56" t="s">
        <v>43</v>
      </c>
      <c r="B11" s="56" t="s">
        <v>44</v>
      </c>
      <c r="C11" s="56" t="s">
        <v>45</v>
      </c>
      <c r="D11" s="56" t="s">
        <v>477</v>
      </c>
      <c r="E11" s="56" t="s">
        <v>49</v>
      </c>
      <c r="F11" s="56" t="s">
        <v>50</v>
      </c>
      <c r="G11" s="56" t="s">
        <v>48</v>
      </c>
      <c r="H11" s="56">
        <v>1285</v>
      </c>
      <c r="I11" s="56">
        <v>13297</v>
      </c>
      <c r="J11" s="71">
        <v>6.4831387808041505</v>
      </c>
      <c r="L11" s="54"/>
      <c r="M11" s="54"/>
      <c r="N11" s="54"/>
      <c r="O11" s="54"/>
      <c r="P11" s="54"/>
      <c r="Q11" s="54"/>
      <c r="R11" s="54"/>
    </row>
    <row r="12" spans="1:19" ht="15" customHeight="1">
      <c r="A12" s="56" t="s">
        <v>43</v>
      </c>
      <c r="B12" s="56" t="s">
        <v>44</v>
      </c>
      <c r="C12" s="56" t="s">
        <v>45</v>
      </c>
      <c r="D12" s="56" t="s">
        <v>477</v>
      </c>
      <c r="E12" s="56" t="s">
        <v>51</v>
      </c>
      <c r="F12" s="56" t="s">
        <v>52</v>
      </c>
      <c r="G12" s="56" t="s">
        <v>48</v>
      </c>
      <c r="H12" s="56">
        <v>433</v>
      </c>
      <c r="I12" s="56">
        <v>6850</v>
      </c>
      <c r="J12" s="71">
        <v>6.023222992045163</v>
      </c>
      <c r="L12" s="54"/>
      <c r="M12" s="54"/>
      <c r="N12" s="54"/>
      <c r="O12" s="54"/>
      <c r="P12" s="54"/>
      <c r="Q12" s="54"/>
      <c r="R12" s="54"/>
    </row>
    <row r="13" spans="1:19" ht="15" customHeight="1">
      <c r="A13" s="56" t="s">
        <v>43</v>
      </c>
      <c r="B13" s="56" t="s">
        <v>44</v>
      </c>
      <c r="C13" s="56" t="s">
        <v>45</v>
      </c>
      <c r="D13" s="56" t="s">
        <v>477</v>
      </c>
      <c r="E13" s="56" t="s">
        <v>53</v>
      </c>
      <c r="F13" s="56" t="s">
        <v>54</v>
      </c>
      <c r="G13" s="56" t="s">
        <v>55</v>
      </c>
      <c r="H13" s="56">
        <v>195</v>
      </c>
      <c r="I13" s="56">
        <v>5486</v>
      </c>
      <c r="J13" s="71">
        <v>6.5470085470085477</v>
      </c>
      <c r="L13" s="54"/>
      <c r="M13" s="54"/>
      <c r="N13" s="54"/>
      <c r="O13" s="54"/>
      <c r="P13" s="54"/>
      <c r="Q13" s="54"/>
      <c r="R13" s="54"/>
    </row>
    <row r="14" spans="1:19" ht="15" customHeight="1">
      <c r="A14" s="56" t="s">
        <v>43</v>
      </c>
      <c r="B14" s="56" t="s">
        <v>44</v>
      </c>
      <c r="C14" s="56" t="s">
        <v>56</v>
      </c>
      <c r="D14" s="56" t="s">
        <v>478</v>
      </c>
      <c r="E14" s="56" t="s">
        <v>57</v>
      </c>
      <c r="F14" s="56" t="s">
        <v>58</v>
      </c>
      <c r="G14" s="56" t="s">
        <v>48</v>
      </c>
      <c r="H14" s="56">
        <v>435</v>
      </c>
      <c r="I14" s="56">
        <v>17203</v>
      </c>
      <c r="J14" s="71">
        <v>6.0114942528735638</v>
      </c>
      <c r="L14" s="54"/>
      <c r="M14" s="54"/>
      <c r="N14" s="54"/>
      <c r="O14" s="54"/>
      <c r="P14" s="54"/>
      <c r="Q14" s="54"/>
      <c r="R14" s="54"/>
    </row>
    <row r="15" spans="1:19" ht="15" customHeight="1">
      <c r="A15" s="56" t="s">
        <v>43</v>
      </c>
      <c r="B15" s="56" t="s">
        <v>44</v>
      </c>
      <c r="C15" s="56" t="s">
        <v>56</v>
      </c>
      <c r="D15" s="56" t="s">
        <v>478</v>
      </c>
      <c r="E15" s="56" t="s">
        <v>59</v>
      </c>
      <c r="F15" s="56" t="s">
        <v>60</v>
      </c>
      <c r="G15" s="56" t="s">
        <v>55</v>
      </c>
      <c r="H15" s="56">
        <v>906</v>
      </c>
      <c r="I15" s="56">
        <v>6545</v>
      </c>
      <c r="J15" s="71">
        <v>7.1391381490719228</v>
      </c>
      <c r="L15" s="54"/>
      <c r="M15" s="54"/>
      <c r="N15" s="54"/>
      <c r="O15" s="54"/>
      <c r="P15" s="54"/>
      <c r="Q15" s="54"/>
      <c r="R15" s="54"/>
    </row>
    <row r="16" spans="1:19" ht="15" customHeight="1">
      <c r="A16" s="56" t="s">
        <v>43</v>
      </c>
      <c r="B16" s="56" t="s">
        <v>44</v>
      </c>
      <c r="C16" s="56" t="s">
        <v>56</v>
      </c>
      <c r="D16" s="56" t="s">
        <v>478</v>
      </c>
      <c r="E16" s="56" t="s">
        <v>61</v>
      </c>
      <c r="F16" s="56" t="s">
        <v>62</v>
      </c>
      <c r="G16" s="56" t="s">
        <v>48</v>
      </c>
      <c r="H16" s="56">
        <v>693</v>
      </c>
      <c r="I16" s="56">
        <v>3922</v>
      </c>
      <c r="J16" s="71">
        <v>6.8500714643426237</v>
      </c>
      <c r="L16" s="54"/>
      <c r="M16" s="54"/>
      <c r="N16" s="54"/>
      <c r="O16" s="54"/>
      <c r="P16" s="54"/>
      <c r="Q16" s="54"/>
      <c r="R16" s="54"/>
    </row>
    <row r="17" spans="1:18" ht="15" customHeight="1">
      <c r="A17" s="56" t="s">
        <v>43</v>
      </c>
      <c r="B17" s="56" t="s">
        <v>44</v>
      </c>
      <c r="C17" s="56" t="s">
        <v>56</v>
      </c>
      <c r="D17" s="56" t="s">
        <v>478</v>
      </c>
      <c r="E17" s="56" t="s">
        <v>63</v>
      </c>
      <c r="F17" s="56" t="s">
        <v>64</v>
      </c>
      <c r="G17" s="56" t="s">
        <v>55</v>
      </c>
      <c r="H17" s="56">
        <v>616</v>
      </c>
      <c r="I17" s="56">
        <v>6702</v>
      </c>
      <c r="J17" s="71">
        <v>6.6761363636363633</v>
      </c>
      <c r="L17" s="54"/>
      <c r="M17" s="54"/>
      <c r="N17" s="54"/>
      <c r="O17" s="54"/>
      <c r="P17" s="54"/>
      <c r="Q17" s="54"/>
      <c r="R17" s="54"/>
    </row>
    <row r="18" spans="1:18" ht="15" customHeight="1">
      <c r="A18" s="56" t="s">
        <v>43</v>
      </c>
      <c r="B18" s="56" t="s">
        <v>44</v>
      </c>
      <c r="C18" s="56" t="s">
        <v>65</v>
      </c>
      <c r="D18" s="56" t="s">
        <v>479</v>
      </c>
      <c r="E18" s="56" t="s">
        <v>66</v>
      </c>
      <c r="F18" s="56" t="s">
        <v>67</v>
      </c>
      <c r="G18" s="56" t="s">
        <v>55</v>
      </c>
      <c r="H18" s="56">
        <v>154</v>
      </c>
      <c r="I18" s="56">
        <v>3407</v>
      </c>
      <c r="J18" s="71">
        <v>6.0822510822510827</v>
      </c>
      <c r="L18" s="54"/>
      <c r="M18" s="54"/>
      <c r="N18" s="54"/>
      <c r="O18" s="54"/>
      <c r="P18" s="54"/>
      <c r="Q18" s="54"/>
      <c r="R18" s="54"/>
    </row>
    <row r="19" spans="1:18" ht="15" customHeight="1">
      <c r="A19" s="56" t="s">
        <v>43</v>
      </c>
      <c r="B19" s="56" t="s">
        <v>44</v>
      </c>
      <c r="C19" s="56" t="s">
        <v>65</v>
      </c>
      <c r="D19" s="56" t="s">
        <v>479</v>
      </c>
      <c r="E19" s="56" t="s">
        <v>68</v>
      </c>
      <c r="F19" s="56" t="s">
        <v>69</v>
      </c>
      <c r="G19" s="56" t="s">
        <v>55</v>
      </c>
      <c r="H19" s="56">
        <v>444</v>
      </c>
      <c r="I19" s="56">
        <v>2293</v>
      </c>
      <c r="J19" s="71">
        <v>6.884820129676517</v>
      </c>
      <c r="L19" s="54"/>
      <c r="M19" s="54"/>
      <c r="N19" s="54"/>
      <c r="O19" s="54"/>
      <c r="P19" s="54"/>
      <c r="Q19" s="54"/>
      <c r="R19" s="54"/>
    </row>
    <row r="20" spans="1:18" ht="15" customHeight="1">
      <c r="A20" s="56" t="s">
        <v>43</v>
      </c>
      <c r="B20" s="56" t="s">
        <v>44</v>
      </c>
      <c r="C20" s="56" t="s">
        <v>65</v>
      </c>
      <c r="D20" s="56" t="s">
        <v>479</v>
      </c>
      <c r="E20" s="56" t="s">
        <v>70</v>
      </c>
      <c r="F20" s="56" t="s">
        <v>71</v>
      </c>
      <c r="G20" s="56" t="s">
        <v>72</v>
      </c>
      <c r="H20" s="56">
        <v>954</v>
      </c>
      <c r="I20" s="56">
        <v>5520</v>
      </c>
      <c r="J20" s="71">
        <v>7.0033967203778529</v>
      </c>
      <c r="L20" s="54"/>
      <c r="M20" s="54"/>
      <c r="N20" s="54"/>
      <c r="O20" s="54"/>
      <c r="P20" s="54"/>
      <c r="Q20" s="54"/>
      <c r="R20" s="54"/>
    </row>
    <row r="21" spans="1:18" ht="15" customHeight="1">
      <c r="A21" s="56" t="s">
        <v>43</v>
      </c>
      <c r="B21" s="56" t="s">
        <v>44</v>
      </c>
      <c r="C21" s="56" t="s">
        <v>65</v>
      </c>
      <c r="D21" s="56" t="s">
        <v>479</v>
      </c>
      <c r="E21" s="56" t="s">
        <v>73</v>
      </c>
      <c r="F21" s="56" t="s">
        <v>74</v>
      </c>
      <c r="G21" s="56" t="s">
        <v>72</v>
      </c>
      <c r="H21" s="56">
        <v>31</v>
      </c>
      <c r="I21" s="56">
        <v>2283</v>
      </c>
      <c r="J21" s="71">
        <v>5.672043010752688</v>
      </c>
      <c r="L21" s="54"/>
      <c r="M21" s="54"/>
      <c r="N21" s="54"/>
      <c r="O21" s="54"/>
      <c r="P21" s="54"/>
      <c r="Q21" s="54"/>
      <c r="R21" s="54"/>
    </row>
    <row r="22" spans="1:18" ht="15" customHeight="1">
      <c r="A22" s="56" t="s">
        <v>43</v>
      </c>
      <c r="B22" s="56" t="s">
        <v>44</v>
      </c>
      <c r="C22" s="56" t="s">
        <v>65</v>
      </c>
      <c r="D22" s="56" t="s">
        <v>479</v>
      </c>
      <c r="E22" s="56" t="s">
        <v>75</v>
      </c>
      <c r="F22" s="56" t="s">
        <v>76</v>
      </c>
      <c r="G22" s="56" t="s">
        <v>48</v>
      </c>
      <c r="H22" s="56">
        <v>658</v>
      </c>
      <c r="I22" s="56">
        <v>3818</v>
      </c>
      <c r="J22" s="71">
        <v>6.4659392515190399</v>
      </c>
      <c r="L22" s="54"/>
      <c r="M22" s="54"/>
      <c r="N22" s="54"/>
      <c r="O22" s="54"/>
      <c r="P22" s="54"/>
      <c r="Q22" s="54"/>
      <c r="R22" s="54"/>
    </row>
    <row r="23" spans="1:18" ht="15" customHeight="1">
      <c r="A23" s="56" t="s">
        <v>43</v>
      </c>
      <c r="B23" s="56" t="s">
        <v>44</v>
      </c>
      <c r="C23" s="56" t="s">
        <v>65</v>
      </c>
      <c r="D23" s="56" t="s">
        <v>479</v>
      </c>
      <c r="E23" s="56" t="s">
        <v>77</v>
      </c>
      <c r="F23" s="56" t="s">
        <v>78</v>
      </c>
      <c r="G23" s="56" t="s">
        <v>48</v>
      </c>
      <c r="H23" s="56">
        <v>672</v>
      </c>
      <c r="I23" s="56">
        <v>10684</v>
      </c>
      <c r="J23" s="71">
        <v>5.9850363756613758</v>
      </c>
      <c r="L23" s="54"/>
      <c r="M23" s="54"/>
      <c r="N23" s="54"/>
      <c r="O23" s="54"/>
      <c r="P23" s="54"/>
      <c r="Q23" s="54"/>
      <c r="R23" s="54"/>
    </row>
    <row r="24" spans="1:18" ht="15" customHeight="1">
      <c r="A24" s="56" t="s">
        <v>43</v>
      </c>
      <c r="B24" s="56" t="s">
        <v>44</v>
      </c>
      <c r="C24" s="56" t="s">
        <v>65</v>
      </c>
      <c r="D24" s="56" t="s">
        <v>479</v>
      </c>
      <c r="E24" s="56" t="s">
        <v>79</v>
      </c>
      <c r="F24" s="56" t="s">
        <v>80</v>
      </c>
      <c r="G24" s="56" t="s">
        <v>55</v>
      </c>
      <c r="H24" s="56">
        <v>95</v>
      </c>
      <c r="I24" s="56">
        <v>767</v>
      </c>
      <c r="J24" s="71">
        <v>5.2953216374269001</v>
      </c>
      <c r="L24" s="54"/>
      <c r="M24" s="54"/>
      <c r="N24" s="54"/>
      <c r="O24" s="54"/>
      <c r="P24" s="54"/>
      <c r="Q24" s="54"/>
      <c r="R24" s="54"/>
    </row>
    <row r="25" spans="1:18" ht="15" customHeight="1">
      <c r="A25" s="56" t="s">
        <v>43</v>
      </c>
      <c r="B25" s="56" t="s">
        <v>44</v>
      </c>
      <c r="C25" s="56" t="s">
        <v>65</v>
      </c>
      <c r="D25" s="56" t="s">
        <v>479</v>
      </c>
      <c r="E25" s="56" t="s">
        <v>81</v>
      </c>
      <c r="F25" s="56" t="s">
        <v>82</v>
      </c>
      <c r="G25" s="56" t="s">
        <v>48</v>
      </c>
      <c r="H25" s="56">
        <v>508</v>
      </c>
      <c r="I25" s="56">
        <v>10115</v>
      </c>
      <c r="J25" s="71">
        <v>7.1576990376202971</v>
      </c>
      <c r="L25" s="54"/>
      <c r="M25" s="54"/>
      <c r="N25" s="54"/>
      <c r="O25" s="54"/>
      <c r="P25" s="54"/>
      <c r="Q25" s="54"/>
      <c r="R25" s="54"/>
    </row>
    <row r="26" spans="1:18" ht="15" customHeight="1">
      <c r="A26" s="56" t="s">
        <v>43</v>
      </c>
      <c r="B26" s="56" t="s">
        <v>44</v>
      </c>
      <c r="C26" s="56" t="s">
        <v>65</v>
      </c>
      <c r="D26" s="56" t="s">
        <v>479</v>
      </c>
      <c r="E26" s="56" t="s">
        <v>83</v>
      </c>
      <c r="F26" s="56" t="s">
        <v>84</v>
      </c>
      <c r="G26" s="56" t="s">
        <v>48</v>
      </c>
      <c r="H26" s="56">
        <v>688</v>
      </c>
      <c r="I26" s="56">
        <v>4464</v>
      </c>
      <c r="J26" s="71">
        <v>6.5273740310077519</v>
      </c>
      <c r="L26" s="54"/>
      <c r="M26" s="54"/>
      <c r="N26" s="54"/>
      <c r="O26" s="54"/>
      <c r="P26" s="54"/>
      <c r="Q26" s="54"/>
      <c r="R26" s="54"/>
    </row>
    <row r="27" spans="1:18" ht="15" customHeight="1">
      <c r="A27" s="56" t="s">
        <v>43</v>
      </c>
      <c r="B27" s="56" t="s">
        <v>44</v>
      </c>
      <c r="C27" s="56" t="s">
        <v>85</v>
      </c>
      <c r="D27" s="56" t="s">
        <v>480</v>
      </c>
      <c r="E27" s="56" t="s">
        <v>86</v>
      </c>
      <c r="F27" s="56" t="s">
        <v>87</v>
      </c>
      <c r="G27" s="56" t="s">
        <v>88</v>
      </c>
      <c r="H27" s="56">
        <v>223</v>
      </c>
      <c r="I27" s="56">
        <v>4376</v>
      </c>
      <c r="J27" s="71">
        <v>6.9170403587443943</v>
      </c>
      <c r="L27" s="54"/>
      <c r="M27" s="54"/>
      <c r="N27" s="54"/>
      <c r="O27" s="54"/>
      <c r="P27" s="54"/>
      <c r="Q27" s="54"/>
      <c r="R27" s="54"/>
    </row>
    <row r="28" spans="1:18" ht="15" customHeight="1">
      <c r="A28" s="56" t="s">
        <v>43</v>
      </c>
      <c r="B28" s="56" t="s">
        <v>44</v>
      </c>
      <c r="C28" s="56" t="s">
        <v>85</v>
      </c>
      <c r="D28" s="56" t="s">
        <v>480</v>
      </c>
      <c r="E28" s="56" t="s">
        <v>89</v>
      </c>
      <c r="F28" s="56" t="s">
        <v>90</v>
      </c>
      <c r="G28" s="56" t="s">
        <v>48</v>
      </c>
      <c r="H28" s="56">
        <v>91</v>
      </c>
      <c r="I28" s="56">
        <v>12988</v>
      </c>
      <c r="J28" s="71">
        <v>6.2545787545787546</v>
      </c>
      <c r="L28" s="54"/>
      <c r="M28" s="54"/>
      <c r="N28" s="54"/>
      <c r="O28" s="54"/>
      <c r="P28" s="54"/>
      <c r="Q28" s="54"/>
      <c r="R28" s="54"/>
    </row>
    <row r="29" spans="1:18" ht="15" customHeight="1">
      <c r="A29" s="56" t="s">
        <v>43</v>
      </c>
      <c r="B29" s="56" t="s">
        <v>44</v>
      </c>
      <c r="C29" s="56" t="s">
        <v>85</v>
      </c>
      <c r="D29" s="56" t="s">
        <v>480</v>
      </c>
      <c r="E29" s="56" t="s">
        <v>91</v>
      </c>
      <c r="F29" s="56" t="s">
        <v>92</v>
      </c>
      <c r="G29" s="56" t="s">
        <v>72</v>
      </c>
      <c r="H29" s="56">
        <v>74</v>
      </c>
      <c r="I29" s="56">
        <v>1574</v>
      </c>
      <c r="J29" s="71">
        <v>7.0533033033033048</v>
      </c>
      <c r="L29" s="54"/>
      <c r="M29" s="54"/>
      <c r="N29" s="54"/>
      <c r="O29" s="54"/>
      <c r="P29" s="54"/>
      <c r="Q29" s="54"/>
      <c r="R29" s="54"/>
    </row>
    <row r="30" spans="1:18" ht="15" customHeight="1">
      <c r="A30" s="56" t="s">
        <v>43</v>
      </c>
      <c r="B30" s="56" t="s">
        <v>44</v>
      </c>
      <c r="C30" s="56" t="s">
        <v>85</v>
      </c>
      <c r="D30" s="56" t="s">
        <v>480</v>
      </c>
      <c r="E30" s="56" t="s">
        <v>93</v>
      </c>
      <c r="F30" s="56" t="s">
        <v>94</v>
      </c>
      <c r="G30" s="56" t="s">
        <v>48</v>
      </c>
      <c r="H30" s="56">
        <v>62</v>
      </c>
      <c r="I30" s="56">
        <v>3572</v>
      </c>
      <c r="J30" s="71">
        <v>6.7025089605734776</v>
      </c>
      <c r="L30" s="54"/>
      <c r="M30" s="54"/>
      <c r="N30" s="54"/>
      <c r="O30" s="54"/>
      <c r="P30" s="54"/>
      <c r="Q30" s="54"/>
      <c r="R30" s="54"/>
    </row>
    <row r="31" spans="1:18" ht="15" customHeight="1">
      <c r="A31" s="56" t="s">
        <v>43</v>
      </c>
      <c r="B31" s="56" t="s">
        <v>44</v>
      </c>
      <c r="C31" s="56" t="s">
        <v>85</v>
      </c>
      <c r="D31" s="56" t="s">
        <v>480</v>
      </c>
      <c r="E31" s="56" t="s">
        <v>95</v>
      </c>
      <c r="F31" s="56" t="s">
        <v>96</v>
      </c>
      <c r="G31" s="56" t="s">
        <v>72</v>
      </c>
      <c r="H31" s="56">
        <v>362</v>
      </c>
      <c r="I31" s="56">
        <v>4293</v>
      </c>
      <c r="J31" s="71">
        <v>6.6973603437691835</v>
      </c>
      <c r="L31" s="54"/>
      <c r="M31" s="54"/>
      <c r="N31" s="54"/>
      <c r="O31" s="54"/>
      <c r="P31" s="54"/>
      <c r="Q31" s="54"/>
      <c r="R31" s="54"/>
    </row>
    <row r="32" spans="1:18" ht="15" customHeight="1">
      <c r="A32" s="56" t="s">
        <v>43</v>
      </c>
      <c r="B32" s="56" t="s">
        <v>44</v>
      </c>
      <c r="C32" s="56" t="s">
        <v>97</v>
      </c>
      <c r="D32" s="56" t="s">
        <v>481</v>
      </c>
      <c r="E32" s="56" t="s">
        <v>98</v>
      </c>
      <c r="F32" s="56" t="s">
        <v>99</v>
      </c>
      <c r="G32" s="56" t="s">
        <v>48</v>
      </c>
      <c r="H32" s="56">
        <v>521</v>
      </c>
      <c r="I32" s="56">
        <v>6858</v>
      </c>
      <c r="J32" s="71">
        <v>6.0119428449562804</v>
      </c>
      <c r="L32" s="54"/>
      <c r="M32" s="54"/>
      <c r="N32" s="54"/>
      <c r="O32" s="54"/>
      <c r="P32" s="54"/>
      <c r="Q32" s="54"/>
      <c r="R32" s="54"/>
    </row>
    <row r="33" spans="1:19" ht="15" customHeight="1">
      <c r="A33" s="56" t="s">
        <v>43</v>
      </c>
      <c r="B33" s="56" t="s">
        <v>44</v>
      </c>
      <c r="C33" s="56" t="s">
        <v>97</v>
      </c>
      <c r="D33" s="56" t="s">
        <v>481</v>
      </c>
      <c r="E33" s="56" t="s">
        <v>100</v>
      </c>
      <c r="F33" s="56" t="s">
        <v>101</v>
      </c>
      <c r="G33" s="56" t="s">
        <v>88</v>
      </c>
      <c r="H33" s="56">
        <v>96</v>
      </c>
      <c r="I33" s="56">
        <v>1244</v>
      </c>
      <c r="J33" s="71">
        <v>7.0949074074074074</v>
      </c>
      <c r="L33" s="54"/>
      <c r="M33" s="54"/>
      <c r="N33" s="54"/>
      <c r="O33" s="54"/>
      <c r="P33" s="54"/>
      <c r="Q33" s="54"/>
      <c r="R33" s="54"/>
    </row>
    <row r="34" spans="1:19" ht="15" customHeight="1">
      <c r="A34" s="56" t="s">
        <v>43</v>
      </c>
      <c r="B34" s="56" t="s">
        <v>44</v>
      </c>
      <c r="C34" s="56" t="s">
        <v>97</v>
      </c>
      <c r="D34" s="56" t="s">
        <v>481</v>
      </c>
      <c r="E34" s="56" t="s">
        <v>102</v>
      </c>
      <c r="F34" s="56" t="s">
        <v>103</v>
      </c>
      <c r="G34" s="56" t="s">
        <v>55</v>
      </c>
      <c r="H34" s="56">
        <v>126</v>
      </c>
      <c r="I34" s="56">
        <v>2612</v>
      </c>
      <c r="J34" s="71">
        <v>6.7283950617283947</v>
      </c>
      <c r="L34" s="54"/>
      <c r="M34" s="54"/>
      <c r="N34" s="54"/>
      <c r="O34" s="54"/>
      <c r="P34" s="54"/>
      <c r="Q34" s="54"/>
      <c r="R34" s="54"/>
    </row>
    <row r="35" spans="1:19" ht="15" customHeight="1">
      <c r="A35" s="56" t="s">
        <v>43</v>
      </c>
      <c r="B35" s="56" t="s">
        <v>44</v>
      </c>
      <c r="C35" s="56" t="s">
        <v>97</v>
      </c>
      <c r="D35" s="56" t="s">
        <v>481</v>
      </c>
      <c r="E35" s="56" t="s">
        <v>104</v>
      </c>
      <c r="F35" s="56" t="s">
        <v>105</v>
      </c>
      <c r="G35" s="56" t="s">
        <v>48</v>
      </c>
      <c r="H35" s="56">
        <v>901</v>
      </c>
      <c r="I35" s="56">
        <v>9298</v>
      </c>
      <c r="J35" s="71">
        <v>6.1971266494018993</v>
      </c>
      <c r="L35" s="54"/>
      <c r="M35" s="54"/>
      <c r="N35" s="54"/>
      <c r="O35" s="54"/>
      <c r="P35" s="54"/>
      <c r="Q35" s="54"/>
      <c r="R35" s="54"/>
    </row>
    <row r="36" spans="1:19" ht="15" customHeight="1">
      <c r="A36" s="56" t="s">
        <v>106</v>
      </c>
      <c r="B36" s="56" t="s">
        <v>107</v>
      </c>
      <c r="C36" s="56" t="s">
        <v>108</v>
      </c>
      <c r="D36" s="56" t="s">
        <v>482</v>
      </c>
      <c r="E36" s="56" t="s">
        <v>109</v>
      </c>
      <c r="F36" s="56" t="s">
        <v>110</v>
      </c>
      <c r="G36" s="56" t="s">
        <v>55</v>
      </c>
      <c r="H36" s="56">
        <v>94</v>
      </c>
      <c r="I36" s="56">
        <v>3602</v>
      </c>
      <c r="J36" s="71">
        <v>6.9001182033096926</v>
      </c>
      <c r="L36" s="54"/>
      <c r="M36" s="54"/>
      <c r="N36" s="54"/>
      <c r="O36" s="54"/>
      <c r="P36" s="54"/>
      <c r="Q36" s="54"/>
      <c r="R36" s="54"/>
    </row>
    <row r="37" spans="1:19" ht="15" customHeight="1">
      <c r="A37" s="56" t="s">
        <v>106</v>
      </c>
      <c r="B37" s="56" t="s">
        <v>107</v>
      </c>
      <c r="C37" s="56" t="s">
        <v>108</v>
      </c>
      <c r="D37" s="56" t="s">
        <v>482</v>
      </c>
      <c r="E37" s="56" t="s">
        <v>111</v>
      </c>
      <c r="F37" s="56" t="s">
        <v>112</v>
      </c>
      <c r="G37" s="56" t="s">
        <v>48</v>
      </c>
      <c r="H37" s="56">
        <v>1336</v>
      </c>
      <c r="I37" s="56">
        <v>0</v>
      </c>
      <c r="J37" s="71">
        <v>6.6873691828901114</v>
      </c>
      <c r="L37" s="54"/>
      <c r="M37" s="54"/>
      <c r="N37" s="54"/>
      <c r="O37" s="54"/>
      <c r="P37" s="54"/>
      <c r="Q37" s="54"/>
      <c r="R37" s="54"/>
    </row>
    <row r="38" spans="1:19" ht="15" customHeight="1">
      <c r="A38" s="56" t="s">
        <v>106</v>
      </c>
      <c r="B38" s="56" t="s">
        <v>107</v>
      </c>
      <c r="C38" s="56" t="s">
        <v>108</v>
      </c>
      <c r="D38" s="56" t="s">
        <v>482</v>
      </c>
      <c r="E38" s="56" t="s">
        <v>113</v>
      </c>
      <c r="F38" s="56" t="s">
        <v>114</v>
      </c>
      <c r="G38" s="56" t="s">
        <v>48</v>
      </c>
      <c r="H38" s="56">
        <v>208</v>
      </c>
      <c r="I38" s="56">
        <v>6744</v>
      </c>
      <c r="J38" s="71">
        <v>5.9513767482517492</v>
      </c>
      <c r="L38" s="54"/>
      <c r="M38" s="54"/>
      <c r="N38" s="54"/>
      <c r="O38" s="54"/>
      <c r="P38" s="54"/>
      <c r="Q38" s="54"/>
      <c r="R38" s="54"/>
    </row>
    <row r="39" spans="1:19" ht="15" customHeight="1">
      <c r="A39" s="56" t="s">
        <v>106</v>
      </c>
      <c r="B39" s="56" t="s">
        <v>107</v>
      </c>
      <c r="C39" s="56" t="s">
        <v>108</v>
      </c>
      <c r="D39" s="56" t="s">
        <v>482</v>
      </c>
      <c r="E39" s="56" t="s">
        <v>115</v>
      </c>
      <c r="F39" s="56" t="s">
        <v>116</v>
      </c>
      <c r="G39" s="56" t="s">
        <v>48</v>
      </c>
      <c r="H39" s="56">
        <v>1321</v>
      </c>
      <c r="I39" s="56">
        <v>9376</v>
      </c>
      <c r="J39" s="71">
        <v>6.4931615682728889</v>
      </c>
      <c r="L39" s="54"/>
      <c r="M39" s="54"/>
      <c r="N39" s="54"/>
      <c r="O39" s="54"/>
      <c r="P39" s="54"/>
      <c r="Q39" s="54"/>
      <c r="R39" s="54"/>
    </row>
    <row r="40" spans="1:19" ht="15" customHeight="1">
      <c r="A40" s="56" t="s">
        <v>106</v>
      </c>
      <c r="B40" s="56" t="s">
        <v>107</v>
      </c>
      <c r="C40" s="56" t="s">
        <v>117</v>
      </c>
      <c r="D40" s="56" t="s">
        <v>483</v>
      </c>
      <c r="E40" s="56" t="s">
        <v>118</v>
      </c>
      <c r="F40" s="56" t="s">
        <v>119</v>
      </c>
      <c r="G40" s="56" t="s">
        <v>55</v>
      </c>
      <c r="H40" s="56">
        <v>256</v>
      </c>
      <c r="I40" s="56">
        <v>4555</v>
      </c>
      <c r="J40" s="71">
        <v>6.0536024305555562</v>
      </c>
      <c r="L40" s="54"/>
      <c r="M40" s="54"/>
      <c r="N40" s="54"/>
      <c r="O40" s="54"/>
      <c r="P40" s="54"/>
      <c r="Q40" s="54"/>
      <c r="R40" s="54"/>
    </row>
    <row r="41" spans="1:19" ht="15" customHeight="1">
      <c r="A41" s="56" t="s">
        <v>106</v>
      </c>
      <c r="B41" s="56" t="s">
        <v>107</v>
      </c>
      <c r="C41" s="56" t="s">
        <v>117</v>
      </c>
      <c r="D41" s="56" t="s">
        <v>483</v>
      </c>
      <c r="E41" s="56" t="s">
        <v>120</v>
      </c>
      <c r="F41" s="56" t="s">
        <v>121</v>
      </c>
      <c r="G41" s="56" t="s">
        <v>48</v>
      </c>
      <c r="H41" s="56">
        <v>1252</v>
      </c>
      <c r="I41" s="56">
        <v>5305</v>
      </c>
      <c r="J41" s="71">
        <v>6.5191787407021531</v>
      </c>
      <c r="L41" s="54"/>
      <c r="M41" s="54"/>
      <c r="N41" s="54"/>
      <c r="O41" s="54"/>
      <c r="P41" s="54"/>
      <c r="Q41" s="54"/>
      <c r="R41" s="54"/>
    </row>
    <row r="42" spans="1:19" ht="15" customHeight="1">
      <c r="A42" s="56" t="s">
        <v>106</v>
      </c>
      <c r="B42" s="56" t="s">
        <v>107</v>
      </c>
      <c r="C42" s="56" t="s">
        <v>117</v>
      </c>
      <c r="D42" s="56" t="s">
        <v>483</v>
      </c>
      <c r="E42" s="56" t="s">
        <v>122</v>
      </c>
      <c r="F42" s="56" t="s">
        <v>123</v>
      </c>
      <c r="G42" s="56" t="s">
        <v>48</v>
      </c>
      <c r="H42" s="56">
        <v>274</v>
      </c>
      <c r="I42" s="56">
        <v>3875</v>
      </c>
      <c r="J42" s="71">
        <v>5.7968369829683697</v>
      </c>
      <c r="L42" s="54"/>
      <c r="M42" s="54"/>
      <c r="N42" s="54"/>
      <c r="O42" s="54"/>
      <c r="P42" s="54"/>
      <c r="Q42" s="54"/>
      <c r="R42" s="54"/>
    </row>
    <row r="43" spans="1:19" ht="15" customHeight="1">
      <c r="A43" s="56" t="s">
        <v>106</v>
      </c>
      <c r="B43" s="56" t="s">
        <v>107</v>
      </c>
      <c r="C43" s="56" t="s">
        <v>124</v>
      </c>
      <c r="D43" s="56" t="s">
        <v>484</v>
      </c>
      <c r="E43" s="56" t="s">
        <v>125</v>
      </c>
      <c r="F43" s="56" t="s">
        <v>126</v>
      </c>
      <c r="G43" s="56" t="s">
        <v>55</v>
      </c>
      <c r="H43" s="56">
        <v>69</v>
      </c>
      <c r="I43" s="56">
        <v>4513</v>
      </c>
      <c r="J43" s="71">
        <v>7.14975845410628</v>
      </c>
      <c r="L43" s="54"/>
      <c r="M43" s="54"/>
      <c r="N43" s="54"/>
      <c r="O43" s="54"/>
      <c r="P43" s="54"/>
      <c r="Q43" s="54"/>
      <c r="R43" s="54"/>
    </row>
    <row r="44" spans="1:19" ht="15" customHeight="1">
      <c r="A44" s="56" t="s">
        <v>106</v>
      </c>
      <c r="B44" s="56" t="s">
        <v>107</v>
      </c>
      <c r="C44" s="56" t="s">
        <v>124</v>
      </c>
      <c r="D44" s="56" t="s">
        <v>484</v>
      </c>
      <c r="E44" s="56" t="s">
        <v>127</v>
      </c>
      <c r="F44" s="56" t="s">
        <v>128</v>
      </c>
      <c r="G44" s="56" t="s">
        <v>48</v>
      </c>
      <c r="H44" s="56">
        <v>943</v>
      </c>
      <c r="I44" s="56">
        <v>8225</v>
      </c>
      <c r="J44" s="71">
        <v>5.8118389920927624</v>
      </c>
      <c r="L44" s="54"/>
      <c r="M44" s="54"/>
      <c r="N44" s="54"/>
      <c r="O44" s="54"/>
      <c r="P44" s="54"/>
      <c r="Q44" s="54"/>
      <c r="R44" s="54"/>
    </row>
    <row r="45" spans="1:19" ht="15" customHeight="1">
      <c r="A45" s="56" t="s">
        <v>106</v>
      </c>
      <c r="B45" s="56" t="s">
        <v>107</v>
      </c>
      <c r="C45" s="56" t="s">
        <v>129</v>
      </c>
      <c r="D45" s="56" t="s">
        <v>485</v>
      </c>
      <c r="E45" s="56" t="s">
        <v>130</v>
      </c>
      <c r="F45" s="56" t="s">
        <v>131</v>
      </c>
      <c r="G45" s="56" t="s">
        <v>48</v>
      </c>
      <c r="H45" s="56">
        <v>634</v>
      </c>
      <c r="I45" s="56">
        <v>9671</v>
      </c>
      <c r="J45" s="71">
        <v>6.9343673326323163</v>
      </c>
      <c r="L45" s="54"/>
      <c r="M45" s="54"/>
      <c r="N45" s="54"/>
      <c r="O45" s="54"/>
      <c r="P45" s="54"/>
      <c r="Q45" s="54"/>
      <c r="R45" s="54"/>
    </row>
    <row r="46" spans="1:19" s="45" customFormat="1" ht="15" customHeight="1">
      <c r="A46" s="56" t="s">
        <v>106</v>
      </c>
      <c r="B46" s="56" t="s">
        <v>107</v>
      </c>
      <c r="C46" s="56" t="s">
        <v>129</v>
      </c>
      <c r="D46" s="56" t="s">
        <v>485</v>
      </c>
      <c r="E46" s="56" t="s">
        <v>132</v>
      </c>
      <c r="F46" s="56" t="s">
        <v>133</v>
      </c>
      <c r="G46" s="56" t="s">
        <v>48</v>
      </c>
      <c r="H46" s="56">
        <v>239</v>
      </c>
      <c r="I46" s="56">
        <v>2715</v>
      </c>
      <c r="J46" s="71">
        <v>6.5574151557415163</v>
      </c>
      <c r="K46" s="12"/>
      <c r="L46" s="54"/>
      <c r="M46" s="54"/>
      <c r="N46" s="54"/>
      <c r="O46" s="54"/>
      <c r="P46" s="54"/>
      <c r="Q46" s="54"/>
      <c r="R46" s="54"/>
      <c r="S46" s="12"/>
    </row>
    <row r="47" spans="1:19" s="45" customFormat="1" ht="15" customHeight="1">
      <c r="A47" s="56" t="s">
        <v>106</v>
      </c>
      <c r="B47" s="56" t="s">
        <v>107</v>
      </c>
      <c r="C47" s="56" t="s">
        <v>134</v>
      </c>
      <c r="D47" s="56" t="s">
        <v>486</v>
      </c>
      <c r="E47" s="56" t="s">
        <v>135</v>
      </c>
      <c r="F47" s="56" t="s">
        <v>136</v>
      </c>
      <c r="G47" s="56" t="s">
        <v>55</v>
      </c>
      <c r="H47" s="56">
        <v>16</v>
      </c>
      <c r="I47" s="56">
        <v>4113</v>
      </c>
      <c r="J47" s="71">
        <v>5.677083333333333</v>
      </c>
      <c r="K47" s="12"/>
      <c r="L47" s="54"/>
      <c r="M47" s="54"/>
      <c r="N47" s="54"/>
      <c r="O47" s="54"/>
      <c r="P47" s="54"/>
      <c r="Q47" s="54"/>
      <c r="R47" s="54"/>
      <c r="S47" s="12"/>
    </row>
    <row r="48" spans="1:19" s="45" customFormat="1" ht="15" customHeight="1">
      <c r="A48" s="56" t="s">
        <v>106</v>
      </c>
      <c r="B48" s="56" t="s">
        <v>107</v>
      </c>
      <c r="C48" s="56" t="s">
        <v>134</v>
      </c>
      <c r="D48" s="56" t="s">
        <v>486</v>
      </c>
      <c r="E48" s="56" t="s">
        <v>137</v>
      </c>
      <c r="F48" s="56" t="s">
        <v>138</v>
      </c>
      <c r="G48" s="56" t="s">
        <v>48</v>
      </c>
      <c r="H48" s="56">
        <v>783</v>
      </c>
      <c r="I48" s="56">
        <v>6833</v>
      </c>
      <c r="J48" s="71">
        <v>6.386744005442492</v>
      </c>
      <c r="K48" s="12"/>
      <c r="L48" s="54"/>
      <c r="M48" s="54"/>
      <c r="N48" s="54"/>
      <c r="O48" s="54"/>
      <c r="P48" s="54"/>
      <c r="Q48" s="54"/>
      <c r="R48" s="54"/>
      <c r="S48" s="12"/>
    </row>
    <row r="49" spans="1:19" s="45" customFormat="1" ht="15" customHeight="1">
      <c r="A49" s="56" t="s">
        <v>106</v>
      </c>
      <c r="B49" s="56" t="s">
        <v>107</v>
      </c>
      <c r="C49" s="56" t="s">
        <v>139</v>
      </c>
      <c r="D49" s="56" t="s">
        <v>487</v>
      </c>
      <c r="E49" s="56" t="s">
        <v>140</v>
      </c>
      <c r="F49" s="56" t="s">
        <v>141</v>
      </c>
      <c r="G49" s="56" t="s">
        <v>48</v>
      </c>
      <c r="H49" s="56">
        <v>302</v>
      </c>
      <c r="I49" s="56">
        <v>9308</v>
      </c>
      <c r="J49" s="71">
        <v>6.417885166000044</v>
      </c>
      <c r="K49" s="12"/>
      <c r="L49" s="54"/>
      <c r="M49" s="54"/>
      <c r="N49" s="54"/>
      <c r="O49" s="54"/>
      <c r="P49" s="54"/>
      <c r="Q49" s="54"/>
      <c r="R49" s="54"/>
      <c r="S49" s="12"/>
    </row>
    <row r="50" spans="1:19" s="45" customFormat="1" ht="15" customHeight="1">
      <c r="A50" s="56" t="s">
        <v>106</v>
      </c>
      <c r="B50" s="56" t="s">
        <v>107</v>
      </c>
      <c r="C50" s="56" t="s">
        <v>139</v>
      </c>
      <c r="D50" s="56" t="s">
        <v>487</v>
      </c>
      <c r="E50" s="56" t="s">
        <v>142</v>
      </c>
      <c r="F50" s="56" t="s">
        <v>143</v>
      </c>
      <c r="G50" s="56" t="s">
        <v>48</v>
      </c>
      <c r="H50" s="56">
        <v>1212</v>
      </c>
      <c r="I50" s="56">
        <v>11560</v>
      </c>
      <c r="J50" s="71">
        <v>6.8578107810781077</v>
      </c>
      <c r="K50" s="12"/>
      <c r="L50" s="54"/>
      <c r="M50" s="54"/>
      <c r="N50" s="54"/>
      <c r="O50" s="54"/>
      <c r="P50" s="54"/>
      <c r="Q50" s="54"/>
      <c r="R50" s="54"/>
      <c r="S50" s="12"/>
    </row>
    <row r="51" spans="1:19" s="45" customFormat="1" ht="15" customHeight="1">
      <c r="A51" s="56" t="s">
        <v>106</v>
      </c>
      <c r="B51" s="56" t="s">
        <v>107</v>
      </c>
      <c r="C51" s="56" t="s">
        <v>144</v>
      </c>
      <c r="D51" s="56" t="s">
        <v>488</v>
      </c>
      <c r="E51" s="56" t="s">
        <v>145</v>
      </c>
      <c r="F51" s="56" t="s">
        <v>146</v>
      </c>
      <c r="G51" s="56" t="s">
        <v>48</v>
      </c>
      <c r="H51" s="56">
        <v>476</v>
      </c>
      <c r="I51" s="56">
        <v>3212</v>
      </c>
      <c r="J51" s="71">
        <v>6.7997198879551819</v>
      </c>
      <c r="K51" s="12"/>
      <c r="L51" s="54"/>
      <c r="M51" s="54"/>
      <c r="N51" s="54"/>
      <c r="O51" s="54"/>
      <c r="P51" s="54"/>
      <c r="Q51" s="54"/>
      <c r="R51" s="54"/>
      <c r="S51" s="12"/>
    </row>
    <row r="52" spans="1:19" s="45" customFormat="1" ht="15" customHeight="1">
      <c r="A52" s="56" t="s">
        <v>106</v>
      </c>
      <c r="B52" s="56" t="s">
        <v>107</v>
      </c>
      <c r="C52" s="56" t="s">
        <v>144</v>
      </c>
      <c r="D52" s="56" t="s">
        <v>488</v>
      </c>
      <c r="E52" s="56" t="s">
        <v>147</v>
      </c>
      <c r="F52" s="56" t="s">
        <v>148</v>
      </c>
      <c r="G52" s="56" t="s">
        <v>55</v>
      </c>
      <c r="H52" s="56">
        <v>1074</v>
      </c>
      <c r="I52" s="56">
        <v>6427</v>
      </c>
      <c r="J52" s="71">
        <v>6.8544382371198012</v>
      </c>
      <c r="K52" s="12"/>
      <c r="L52" s="54"/>
      <c r="M52" s="54"/>
      <c r="N52" s="54"/>
      <c r="O52" s="54"/>
      <c r="P52" s="54"/>
      <c r="Q52" s="54"/>
      <c r="R52" s="54"/>
      <c r="S52" s="12"/>
    </row>
    <row r="53" spans="1:19" s="45" customFormat="1" ht="15" customHeight="1">
      <c r="A53" s="56" t="s">
        <v>106</v>
      </c>
      <c r="B53" s="56" t="s">
        <v>107</v>
      </c>
      <c r="C53" s="56" t="s">
        <v>144</v>
      </c>
      <c r="D53" s="56" t="s">
        <v>488</v>
      </c>
      <c r="E53" s="56" t="s">
        <v>149</v>
      </c>
      <c r="F53" s="56" t="s">
        <v>150</v>
      </c>
      <c r="G53" s="56" t="s">
        <v>48</v>
      </c>
      <c r="H53" s="56">
        <v>179</v>
      </c>
      <c r="I53" s="56">
        <v>9217</v>
      </c>
      <c r="J53" s="71">
        <v>5.6486654252017381</v>
      </c>
      <c r="K53" s="12"/>
      <c r="L53" s="54"/>
      <c r="M53" s="54"/>
      <c r="N53" s="54"/>
      <c r="O53" s="54"/>
      <c r="P53" s="54"/>
      <c r="Q53" s="54"/>
      <c r="R53" s="54"/>
      <c r="S53" s="12"/>
    </row>
    <row r="54" spans="1:19">
      <c r="A54" s="56" t="s">
        <v>151</v>
      </c>
      <c r="B54" s="56" t="s">
        <v>152</v>
      </c>
      <c r="C54" s="56" t="s">
        <v>153</v>
      </c>
      <c r="D54" s="56" t="s">
        <v>489</v>
      </c>
      <c r="E54" s="56" t="s">
        <v>154</v>
      </c>
      <c r="F54" s="56" t="s">
        <v>155</v>
      </c>
      <c r="G54" s="56" t="s">
        <v>48</v>
      </c>
      <c r="H54" s="56">
        <v>230</v>
      </c>
      <c r="I54" s="56">
        <v>3966</v>
      </c>
      <c r="J54" s="71">
        <v>6.4842995169082123</v>
      </c>
      <c r="L54" s="54"/>
      <c r="M54" s="54"/>
      <c r="N54" s="54"/>
      <c r="O54" s="54"/>
      <c r="P54" s="54"/>
      <c r="Q54" s="54"/>
      <c r="R54" s="54"/>
    </row>
    <row r="55" spans="1:19">
      <c r="A55" s="56" t="s">
        <v>151</v>
      </c>
      <c r="B55" s="56" t="s">
        <v>152</v>
      </c>
      <c r="C55" s="56" t="s">
        <v>153</v>
      </c>
      <c r="D55" s="56" t="s">
        <v>489</v>
      </c>
      <c r="E55" s="56" t="s">
        <v>156</v>
      </c>
      <c r="F55" s="56" t="s">
        <v>157</v>
      </c>
      <c r="G55" s="56" t="s">
        <v>48</v>
      </c>
      <c r="H55" s="56">
        <v>2456</v>
      </c>
      <c r="I55" s="56">
        <v>10356</v>
      </c>
      <c r="J55" s="71">
        <v>6.3425112114168352</v>
      </c>
      <c r="L55" s="54"/>
      <c r="M55" s="54"/>
      <c r="N55" s="54"/>
      <c r="O55" s="54"/>
      <c r="P55" s="54"/>
      <c r="Q55" s="54"/>
      <c r="R55" s="54"/>
    </row>
    <row r="56" spans="1:19">
      <c r="A56" s="56" t="s">
        <v>151</v>
      </c>
      <c r="B56" s="56" t="s">
        <v>152</v>
      </c>
      <c r="C56" s="56" t="s">
        <v>153</v>
      </c>
      <c r="D56" s="56" t="s">
        <v>489</v>
      </c>
      <c r="E56" s="56" t="s">
        <v>158</v>
      </c>
      <c r="F56" s="56" t="s">
        <v>159</v>
      </c>
      <c r="G56" s="56" t="s">
        <v>55</v>
      </c>
      <c r="H56" s="56">
        <v>174</v>
      </c>
      <c r="I56" s="56">
        <v>3451</v>
      </c>
      <c r="J56" s="71">
        <v>6.5118135376756063</v>
      </c>
      <c r="L56" s="54"/>
      <c r="M56" s="54"/>
      <c r="N56" s="54"/>
      <c r="O56" s="54"/>
      <c r="P56" s="54"/>
      <c r="Q56" s="54"/>
      <c r="R56" s="54"/>
    </row>
    <row r="57" spans="1:19">
      <c r="A57" s="56" t="s">
        <v>151</v>
      </c>
      <c r="B57" s="56" t="s">
        <v>152</v>
      </c>
      <c r="C57" s="56" t="s">
        <v>153</v>
      </c>
      <c r="D57" s="56" t="s">
        <v>489</v>
      </c>
      <c r="E57" s="56" t="s">
        <v>160</v>
      </c>
      <c r="F57" s="56" t="s">
        <v>161</v>
      </c>
      <c r="G57" s="56" t="s">
        <v>88</v>
      </c>
      <c r="H57" s="56">
        <v>820</v>
      </c>
      <c r="I57" s="56">
        <v>4913</v>
      </c>
      <c r="J57" s="71">
        <v>6.7046070460704605</v>
      </c>
      <c r="L57" s="54"/>
      <c r="M57" s="54"/>
      <c r="N57" s="54"/>
      <c r="O57" s="54"/>
      <c r="P57" s="54"/>
      <c r="Q57" s="54"/>
      <c r="R57" s="54"/>
    </row>
    <row r="58" spans="1:19">
      <c r="A58" s="56" t="s">
        <v>151</v>
      </c>
      <c r="B58" s="56" t="s">
        <v>152</v>
      </c>
      <c r="C58" s="56" t="s">
        <v>153</v>
      </c>
      <c r="D58" s="56" t="s">
        <v>489</v>
      </c>
      <c r="E58" s="56" t="s">
        <v>162</v>
      </c>
      <c r="F58" s="56" t="s">
        <v>163</v>
      </c>
      <c r="G58" s="56" t="s">
        <v>48</v>
      </c>
      <c r="H58" s="56">
        <v>1039</v>
      </c>
      <c r="I58" s="56">
        <v>6709</v>
      </c>
      <c r="J58" s="71">
        <v>6.9428403379317727</v>
      </c>
      <c r="L58" s="54"/>
      <c r="M58" s="54"/>
      <c r="N58" s="54"/>
      <c r="O58" s="54"/>
      <c r="P58" s="54"/>
      <c r="Q58" s="54"/>
      <c r="R58" s="54"/>
    </row>
    <row r="59" spans="1:19">
      <c r="A59" s="56" t="s">
        <v>151</v>
      </c>
      <c r="B59" s="56" t="s">
        <v>152</v>
      </c>
      <c r="C59" s="56" t="s">
        <v>153</v>
      </c>
      <c r="D59" s="56" t="s">
        <v>489</v>
      </c>
      <c r="E59" s="56" t="s">
        <v>164</v>
      </c>
      <c r="F59" s="56" t="s">
        <v>165</v>
      </c>
      <c r="G59" s="56" t="s">
        <v>48</v>
      </c>
      <c r="H59" s="56">
        <v>41</v>
      </c>
      <c r="I59" s="56">
        <v>4620</v>
      </c>
      <c r="J59" s="71">
        <v>5.48780487804878</v>
      </c>
      <c r="L59" s="54"/>
      <c r="M59" s="54"/>
      <c r="N59" s="54"/>
      <c r="O59" s="54"/>
      <c r="P59" s="54"/>
      <c r="Q59" s="54"/>
      <c r="R59" s="54"/>
    </row>
    <row r="60" spans="1:19">
      <c r="A60" s="56" t="s">
        <v>151</v>
      </c>
      <c r="B60" s="56" t="s">
        <v>152</v>
      </c>
      <c r="C60" s="56" t="s">
        <v>166</v>
      </c>
      <c r="D60" s="56" t="s">
        <v>490</v>
      </c>
      <c r="E60" s="56" t="s">
        <v>167</v>
      </c>
      <c r="F60" s="56" t="s">
        <v>168</v>
      </c>
      <c r="G60" s="56" t="s">
        <v>55</v>
      </c>
      <c r="H60" s="56">
        <v>1527</v>
      </c>
      <c r="I60" s="56">
        <v>4670</v>
      </c>
      <c r="J60" s="71">
        <v>7.3415702758677766</v>
      </c>
      <c r="L60" s="54"/>
      <c r="M60" s="54"/>
      <c r="N60" s="54"/>
      <c r="O60" s="54"/>
      <c r="P60" s="54"/>
      <c r="Q60" s="54"/>
      <c r="R60" s="54"/>
    </row>
    <row r="61" spans="1:19">
      <c r="A61" s="56" t="s">
        <v>151</v>
      </c>
      <c r="B61" s="56" t="s">
        <v>152</v>
      </c>
      <c r="C61" s="56" t="s">
        <v>166</v>
      </c>
      <c r="D61" s="56" t="s">
        <v>490</v>
      </c>
      <c r="E61" s="56" t="s">
        <v>169</v>
      </c>
      <c r="F61" s="56" t="s">
        <v>170</v>
      </c>
      <c r="G61" s="56" t="s">
        <v>48</v>
      </c>
      <c r="H61" s="56">
        <v>1499</v>
      </c>
      <c r="I61" s="56">
        <v>9971</v>
      </c>
      <c r="J61" s="71">
        <v>6.6046610714129086</v>
      </c>
      <c r="L61" s="54"/>
      <c r="M61" s="54"/>
      <c r="N61" s="54"/>
      <c r="O61" s="54"/>
      <c r="P61" s="54"/>
      <c r="Q61" s="54"/>
      <c r="R61" s="54"/>
    </row>
    <row r="62" spans="1:19">
      <c r="A62" s="56" t="s">
        <v>151</v>
      </c>
      <c r="B62" s="56" t="s">
        <v>152</v>
      </c>
      <c r="C62" s="56" t="s">
        <v>171</v>
      </c>
      <c r="D62" s="56" t="s">
        <v>491</v>
      </c>
      <c r="E62" s="56" t="s">
        <v>172</v>
      </c>
      <c r="F62" s="56" t="s">
        <v>173</v>
      </c>
      <c r="G62" s="56" t="s">
        <v>48</v>
      </c>
      <c r="H62" s="56">
        <v>301</v>
      </c>
      <c r="I62" s="56">
        <v>7875</v>
      </c>
      <c r="J62" s="71">
        <v>6.1664820967146552</v>
      </c>
      <c r="L62" s="54"/>
      <c r="M62" s="54"/>
      <c r="N62" s="54"/>
      <c r="O62" s="54"/>
      <c r="P62" s="54"/>
      <c r="Q62" s="54"/>
      <c r="R62" s="54"/>
    </row>
    <row r="63" spans="1:19">
      <c r="A63" s="56" t="s">
        <v>151</v>
      </c>
      <c r="B63" s="56" t="s">
        <v>152</v>
      </c>
      <c r="C63" s="56" t="s">
        <v>171</v>
      </c>
      <c r="D63" s="56" t="s">
        <v>491</v>
      </c>
      <c r="E63" s="56" t="s">
        <v>174</v>
      </c>
      <c r="F63" s="56" t="s">
        <v>175</v>
      </c>
      <c r="G63" s="56" t="s">
        <v>72</v>
      </c>
      <c r="H63" s="56">
        <v>159</v>
      </c>
      <c r="I63" s="56">
        <v>1074</v>
      </c>
      <c r="J63" s="71">
        <v>7.2781271837875607</v>
      </c>
      <c r="L63" s="54"/>
      <c r="M63" s="54"/>
      <c r="N63" s="54"/>
      <c r="O63" s="54"/>
      <c r="P63" s="54"/>
      <c r="Q63" s="54"/>
      <c r="R63" s="54"/>
    </row>
    <row r="64" spans="1:19">
      <c r="A64" s="56" t="s">
        <v>151</v>
      </c>
      <c r="B64" s="56" t="s">
        <v>152</v>
      </c>
      <c r="C64" s="56" t="s">
        <v>171</v>
      </c>
      <c r="D64" s="56" t="s">
        <v>491</v>
      </c>
      <c r="E64" s="56" t="s">
        <v>176</v>
      </c>
      <c r="F64" s="56" t="s">
        <v>177</v>
      </c>
      <c r="G64" s="56" t="s">
        <v>178</v>
      </c>
      <c r="H64" s="56">
        <v>111</v>
      </c>
      <c r="I64" s="56">
        <v>4198</v>
      </c>
      <c r="J64" s="71">
        <v>4.3143143143143137</v>
      </c>
      <c r="L64" s="54"/>
      <c r="M64" s="54"/>
      <c r="N64" s="54"/>
      <c r="O64" s="54"/>
      <c r="P64" s="54"/>
      <c r="Q64" s="54"/>
      <c r="R64" s="54"/>
    </row>
    <row r="65" spans="1:18">
      <c r="A65" s="56" t="s">
        <v>151</v>
      </c>
      <c r="B65" s="56" t="s">
        <v>152</v>
      </c>
      <c r="C65" s="56" t="s">
        <v>171</v>
      </c>
      <c r="D65" s="56" t="s">
        <v>491</v>
      </c>
      <c r="E65" s="56" t="s">
        <v>179</v>
      </c>
      <c r="F65" s="56" t="s">
        <v>180</v>
      </c>
      <c r="G65" s="56" t="s">
        <v>88</v>
      </c>
      <c r="H65" s="56">
        <v>90</v>
      </c>
      <c r="I65" s="56">
        <v>5318</v>
      </c>
      <c r="J65" s="71">
        <v>6.9197530864197532</v>
      </c>
      <c r="L65" s="54"/>
      <c r="M65" s="54"/>
      <c r="N65" s="54"/>
      <c r="O65" s="54"/>
      <c r="P65" s="54"/>
      <c r="Q65" s="54"/>
      <c r="R65" s="54"/>
    </row>
    <row r="66" spans="1:18">
      <c r="A66" s="56" t="s">
        <v>151</v>
      </c>
      <c r="B66" s="56" t="s">
        <v>152</v>
      </c>
      <c r="C66" s="56" t="s">
        <v>171</v>
      </c>
      <c r="D66" s="56" t="s">
        <v>491</v>
      </c>
      <c r="E66" s="56" t="s">
        <v>181</v>
      </c>
      <c r="F66" s="56" t="s">
        <v>182</v>
      </c>
      <c r="G66" s="56" t="s">
        <v>55</v>
      </c>
      <c r="H66" s="56">
        <v>187</v>
      </c>
      <c r="I66" s="56">
        <v>5533</v>
      </c>
      <c r="J66" s="71">
        <v>6.3532382650029717</v>
      </c>
      <c r="L66" s="54"/>
      <c r="M66" s="54"/>
      <c r="N66" s="54"/>
      <c r="O66" s="54"/>
      <c r="P66" s="54"/>
      <c r="Q66" s="54"/>
      <c r="R66" s="54"/>
    </row>
    <row r="67" spans="1:18">
      <c r="A67" s="56" t="s">
        <v>151</v>
      </c>
      <c r="B67" s="56" t="s">
        <v>152</v>
      </c>
      <c r="C67" s="56" t="s">
        <v>171</v>
      </c>
      <c r="D67" s="56" t="s">
        <v>491</v>
      </c>
      <c r="E67" s="56" t="s">
        <v>183</v>
      </c>
      <c r="F67" s="56" t="s">
        <v>184</v>
      </c>
      <c r="G67" s="56" t="s">
        <v>48</v>
      </c>
      <c r="H67" s="56">
        <v>220</v>
      </c>
      <c r="I67" s="56">
        <v>16095</v>
      </c>
      <c r="J67" s="71">
        <v>5.2601010101010104</v>
      </c>
      <c r="L67" s="54"/>
      <c r="M67" s="54"/>
      <c r="N67" s="54"/>
      <c r="O67" s="54"/>
      <c r="P67" s="54"/>
      <c r="Q67" s="54"/>
      <c r="R67" s="54"/>
    </row>
    <row r="68" spans="1:18">
      <c r="A68" s="56" t="s">
        <v>151</v>
      </c>
      <c r="B68" s="56" t="s">
        <v>152</v>
      </c>
      <c r="C68" s="56" t="s">
        <v>185</v>
      </c>
      <c r="D68" s="56" t="s">
        <v>492</v>
      </c>
      <c r="E68" s="56" t="s">
        <v>186</v>
      </c>
      <c r="F68" s="56" t="s">
        <v>187</v>
      </c>
      <c r="G68" s="56" t="s">
        <v>48</v>
      </c>
      <c r="H68" s="56">
        <v>816</v>
      </c>
      <c r="I68" s="56">
        <v>7394</v>
      </c>
      <c r="J68" s="71">
        <v>6.4253131808278861</v>
      </c>
      <c r="L68" s="54"/>
      <c r="M68" s="54"/>
      <c r="N68" s="54"/>
      <c r="O68" s="54"/>
      <c r="P68" s="54"/>
      <c r="Q68" s="54"/>
      <c r="R68" s="54"/>
    </row>
    <row r="69" spans="1:18">
      <c r="A69" s="56" t="s">
        <v>151</v>
      </c>
      <c r="B69" s="56" t="s">
        <v>152</v>
      </c>
      <c r="C69" s="56" t="s">
        <v>185</v>
      </c>
      <c r="D69" s="56" t="s">
        <v>492</v>
      </c>
      <c r="E69" s="56" t="s">
        <v>188</v>
      </c>
      <c r="F69" s="56" t="s">
        <v>189</v>
      </c>
      <c r="G69" s="56" t="s">
        <v>48</v>
      </c>
      <c r="H69" s="56">
        <v>482</v>
      </c>
      <c r="I69" s="56">
        <v>3620</v>
      </c>
      <c r="J69" s="71">
        <v>6.6600718233203109</v>
      </c>
      <c r="L69" s="54"/>
      <c r="M69" s="54"/>
      <c r="N69" s="54"/>
      <c r="O69" s="54"/>
      <c r="P69" s="54"/>
      <c r="Q69" s="54"/>
      <c r="R69" s="54"/>
    </row>
    <row r="70" spans="1:18">
      <c r="A70" s="56" t="s">
        <v>151</v>
      </c>
      <c r="B70" s="56" t="s">
        <v>152</v>
      </c>
      <c r="C70" s="56" t="s">
        <v>185</v>
      </c>
      <c r="D70" s="56" t="s">
        <v>492</v>
      </c>
      <c r="E70" s="56" t="s">
        <v>190</v>
      </c>
      <c r="F70" s="56" t="s">
        <v>191</v>
      </c>
      <c r="G70" s="56" t="s">
        <v>48</v>
      </c>
      <c r="H70" s="56">
        <v>1032</v>
      </c>
      <c r="I70" s="56">
        <v>7994</v>
      </c>
      <c r="J70" s="71">
        <v>6.3961563307493536</v>
      </c>
      <c r="L70" s="54"/>
      <c r="M70" s="54"/>
      <c r="N70" s="54"/>
      <c r="O70" s="54"/>
      <c r="P70" s="54"/>
      <c r="Q70" s="54"/>
      <c r="R70" s="54"/>
    </row>
    <row r="71" spans="1:18">
      <c r="A71" s="56" t="s">
        <v>151</v>
      </c>
      <c r="B71" s="56" t="s">
        <v>152</v>
      </c>
      <c r="C71" s="56" t="s">
        <v>185</v>
      </c>
      <c r="D71" s="56" t="s">
        <v>492</v>
      </c>
      <c r="E71" s="56" t="s">
        <v>192</v>
      </c>
      <c r="F71" s="56" t="s">
        <v>193</v>
      </c>
      <c r="G71" s="56" t="s">
        <v>55</v>
      </c>
      <c r="H71" s="56">
        <v>429</v>
      </c>
      <c r="I71" s="56">
        <v>4041</v>
      </c>
      <c r="J71" s="71">
        <v>7.2429422429422443</v>
      </c>
      <c r="L71" s="54"/>
      <c r="M71" s="54"/>
      <c r="N71" s="54"/>
      <c r="O71" s="54"/>
      <c r="P71" s="54"/>
      <c r="Q71" s="54"/>
      <c r="R71" s="54"/>
    </row>
    <row r="72" spans="1:18">
      <c r="A72" s="56" t="s">
        <v>151</v>
      </c>
      <c r="B72" s="56" t="s">
        <v>152</v>
      </c>
      <c r="C72" s="56" t="s">
        <v>185</v>
      </c>
      <c r="D72" s="56" t="s">
        <v>492</v>
      </c>
      <c r="E72" s="56" t="s">
        <v>194</v>
      </c>
      <c r="F72" s="56" t="s">
        <v>195</v>
      </c>
      <c r="G72" s="56" t="s">
        <v>55</v>
      </c>
      <c r="H72" s="56">
        <v>1830</v>
      </c>
      <c r="I72" s="56">
        <v>6321</v>
      </c>
      <c r="J72" s="71">
        <v>6.9751587012461336</v>
      </c>
      <c r="L72" s="54"/>
      <c r="M72" s="54"/>
      <c r="N72" s="54"/>
      <c r="O72" s="54"/>
      <c r="P72" s="54"/>
      <c r="Q72" s="54"/>
      <c r="R72" s="54"/>
    </row>
    <row r="73" spans="1:18">
      <c r="A73" s="56" t="s">
        <v>151</v>
      </c>
      <c r="B73" s="56" t="s">
        <v>152</v>
      </c>
      <c r="C73" s="56" t="s">
        <v>185</v>
      </c>
      <c r="D73" s="56" t="s">
        <v>492</v>
      </c>
      <c r="E73" s="56" t="s">
        <v>196</v>
      </c>
      <c r="F73" s="56" t="s">
        <v>197</v>
      </c>
      <c r="G73" s="56" t="s">
        <v>48</v>
      </c>
      <c r="H73" s="56">
        <v>2809</v>
      </c>
      <c r="I73" s="56">
        <v>12425</v>
      </c>
      <c r="J73" s="71">
        <v>7.0432295877592646</v>
      </c>
      <c r="L73" s="54"/>
      <c r="M73" s="54"/>
      <c r="N73" s="54"/>
      <c r="O73" s="54"/>
      <c r="P73" s="54"/>
      <c r="Q73" s="54"/>
      <c r="R73" s="54"/>
    </row>
    <row r="74" spans="1:18">
      <c r="A74" s="56" t="s">
        <v>151</v>
      </c>
      <c r="B74" s="56" t="s">
        <v>152</v>
      </c>
      <c r="C74" s="56" t="s">
        <v>198</v>
      </c>
      <c r="D74" s="56" t="s">
        <v>493</v>
      </c>
      <c r="E74" s="56" t="s">
        <v>199</v>
      </c>
      <c r="F74" s="56" t="s">
        <v>200</v>
      </c>
      <c r="G74" s="56" t="s">
        <v>48</v>
      </c>
      <c r="H74" s="56">
        <v>705</v>
      </c>
      <c r="I74" s="56">
        <v>6239</v>
      </c>
      <c r="J74" s="71">
        <v>6.6544523246650904</v>
      </c>
      <c r="L74" s="54"/>
      <c r="M74" s="54"/>
      <c r="N74" s="54"/>
      <c r="O74" s="54"/>
      <c r="P74" s="54"/>
      <c r="Q74" s="54"/>
      <c r="R74" s="54"/>
    </row>
    <row r="75" spans="1:18">
      <c r="A75" s="56" t="s">
        <v>151</v>
      </c>
      <c r="B75" s="56" t="s">
        <v>152</v>
      </c>
      <c r="C75" s="56" t="s">
        <v>198</v>
      </c>
      <c r="D75" s="56" t="s">
        <v>493</v>
      </c>
      <c r="E75" s="56" t="s">
        <v>201</v>
      </c>
      <c r="F75" s="56" t="s">
        <v>202</v>
      </c>
      <c r="G75" s="56" t="s">
        <v>55</v>
      </c>
      <c r="H75" s="56">
        <v>1002</v>
      </c>
      <c r="I75" s="56">
        <v>6072</v>
      </c>
      <c r="J75" s="71">
        <v>6.7445664227101361</v>
      </c>
      <c r="L75" s="54"/>
      <c r="M75" s="54"/>
      <c r="N75" s="54"/>
      <c r="O75" s="54"/>
      <c r="P75" s="54"/>
      <c r="Q75" s="54"/>
      <c r="R75" s="54"/>
    </row>
    <row r="76" spans="1:18">
      <c r="A76" s="56" t="s">
        <v>151</v>
      </c>
      <c r="B76" s="56" t="s">
        <v>152</v>
      </c>
      <c r="C76" s="56" t="s">
        <v>198</v>
      </c>
      <c r="D76" s="56" t="s">
        <v>493</v>
      </c>
      <c r="E76" s="56" t="s">
        <v>203</v>
      </c>
      <c r="F76" s="56" t="s">
        <v>204</v>
      </c>
      <c r="G76" s="56" t="s">
        <v>48</v>
      </c>
      <c r="H76" s="56">
        <v>2220</v>
      </c>
      <c r="I76" s="56">
        <v>13438</v>
      </c>
      <c r="J76" s="71">
        <v>6.7976084697018342</v>
      </c>
      <c r="L76" s="54"/>
      <c r="M76" s="54"/>
      <c r="N76" s="54"/>
      <c r="O76" s="54"/>
      <c r="P76" s="54"/>
      <c r="Q76" s="54"/>
      <c r="R76" s="54"/>
    </row>
    <row r="77" spans="1:18">
      <c r="A77" s="56" t="s">
        <v>151</v>
      </c>
      <c r="B77" s="56" t="s">
        <v>152</v>
      </c>
      <c r="C77" s="56" t="s">
        <v>198</v>
      </c>
      <c r="D77" s="56" t="s">
        <v>493</v>
      </c>
      <c r="E77" s="56" t="s">
        <v>205</v>
      </c>
      <c r="F77" s="56" t="s">
        <v>206</v>
      </c>
      <c r="G77" s="56" t="s">
        <v>48</v>
      </c>
      <c r="H77" s="56">
        <v>143</v>
      </c>
      <c r="I77" s="56">
        <v>5899</v>
      </c>
      <c r="J77" s="71">
        <v>6.287878787878789</v>
      </c>
      <c r="L77" s="54"/>
      <c r="M77" s="54"/>
      <c r="N77" s="54"/>
      <c r="O77" s="54"/>
      <c r="P77" s="54"/>
      <c r="Q77" s="54"/>
      <c r="R77" s="54"/>
    </row>
    <row r="78" spans="1:18">
      <c r="A78" s="56" t="s">
        <v>151</v>
      </c>
      <c r="B78" s="56" t="s">
        <v>152</v>
      </c>
      <c r="C78" s="56" t="s">
        <v>198</v>
      </c>
      <c r="D78" s="56" t="s">
        <v>493</v>
      </c>
      <c r="E78" s="56" t="s">
        <v>207</v>
      </c>
      <c r="F78" s="56" t="s">
        <v>208</v>
      </c>
      <c r="G78" s="56" t="s">
        <v>178</v>
      </c>
      <c r="H78" s="56">
        <v>277</v>
      </c>
      <c r="I78" s="56">
        <v>4516</v>
      </c>
      <c r="J78" s="71">
        <v>5.4502607300441239</v>
      </c>
      <c r="L78" s="54"/>
      <c r="M78" s="54"/>
      <c r="N78" s="54"/>
      <c r="O78" s="54"/>
      <c r="P78" s="54"/>
      <c r="Q78" s="54"/>
      <c r="R78" s="54"/>
    </row>
    <row r="79" spans="1:18">
      <c r="A79" s="56" t="s">
        <v>209</v>
      </c>
      <c r="B79" s="56" t="s">
        <v>210</v>
      </c>
      <c r="C79" s="56" t="s">
        <v>211</v>
      </c>
      <c r="D79" s="56" t="s">
        <v>494</v>
      </c>
      <c r="E79" s="56" t="s">
        <v>212</v>
      </c>
      <c r="F79" s="56" t="s">
        <v>213</v>
      </c>
      <c r="G79" s="56" t="s">
        <v>55</v>
      </c>
      <c r="H79" s="56">
        <v>372</v>
      </c>
      <c r="I79" s="56">
        <v>4434</v>
      </c>
      <c r="J79" s="71">
        <v>6.7913799923767053</v>
      </c>
      <c r="L79" s="54"/>
      <c r="M79" s="54"/>
      <c r="N79" s="54"/>
      <c r="O79" s="54"/>
      <c r="P79" s="54"/>
      <c r="Q79" s="54"/>
      <c r="R79" s="54"/>
    </row>
    <row r="80" spans="1:18">
      <c r="A80" s="56" t="s">
        <v>209</v>
      </c>
      <c r="B80" s="56" t="s">
        <v>210</v>
      </c>
      <c r="C80" s="56" t="s">
        <v>211</v>
      </c>
      <c r="D80" s="56" t="s">
        <v>494</v>
      </c>
      <c r="E80" s="56" t="s">
        <v>214</v>
      </c>
      <c r="F80" s="56" t="s">
        <v>215</v>
      </c>
      <c r="G80" s="56" t="s">
        <v>48</v>
      </c>
      <c r="H80" s="56">
        <v>259</v>
      </c>
      <c r="I80" s="56">
        <v>6633</v>
      </c>
      <c r="J80" s="71">
        <v>6.1700986700986702</v>
      </c>
      <c r="L80" s="54"/>
      <c r="M80" s="54"/>
      <c r="N80" s="54"/>
      <c r="O80" s="54"/>
      <c r="P80" s="54"/>
      <c r="Q80" s="54"/>
      <c r="R80" s="54"/>
    </row>
    <row r="81" spans="1:18">
      <c r="A81" s="56" t="s">
        <v>209</v>
      </c>
      <c r="B81" s="56" t="s">
        <v>210</v>
      </c>
      <c r="C81" s="56" t="s">
        <v>211</v>
      </c>
      <c r="D81" s="56" t="s">
        <v>494</v>
      </c>
      <c r="E81" s="56" t="s">
        <v>216</v>
      </c>
      <c r="F81" s="56" t="s">
        <v>217</v>
      </c>
      <c r="G81" s="56" t="s">
        <v>48</v>
      </c>
      <c r="H81" s="56">
        <v>474</v>
      </c>
      <c r="I81" s="56">
        <v>3642</v>
      </c>
      <c r="J81" s="71">
        <v>6.3748241912798882</v>
      </c>
      <c r="L81" s="54"/>
      <c r="M81" s="54"/>
      <c r="N81" s="54"/>
      <c r="O81" s="54"/>
      <c r="P81" s="54"/>
      <c r="Q81" s="54"/>
      <c r="R81" s="54"/>
    </row>
    <row r="82" spans="1:18">
      <c r="A82" s="56" t="s">
        <v>209</v>
      </c>
      <c r="B82" s="56" t="s">
        <v>210</v>
      </c>
      <c r="C82" s="56" t="s">
        <v>218</v>
      </c>
      <c r="D82" s="56" t="s">
        <v>495</v>
      </c>
      <c r="E82" s="56" t="s">
        <v>219</v>
      </c>
      <c r="F82" s="56" t="s">
        <v>220</v>
      </c>
      <c r="G82" s="56" t="s">
        <v>88</v>
      </c>
      <c r="H82" s="56">
        <v>620</v>
      </c>
      <c r="I82" s="56">
        <v>4888</v>
      </c>
      <c r="J82" s="71">
        <v>6.3875448028673842</v>
      </c>
      <c r="L82" s="54"/>
      <c r="M82" s="54"/>
      <c r="N82" s="54"/>
      <c r="O82" s="54"/>
      <c r="P82" s="54"/>
      <c r="Q82" s="54"/>
      <c r="R82" s="54"/>
    </row>
    <row r="83" spans="1:18">
      <c r="A83" s="56" t="s">
        <v>209</v>
      </c>
      <c r="B83" s="56" t="s">
        <v>210</v>
      </c>
      <c r="C83" s="56" t="s">
        <v>218</v>
      </c>
      <c r="D83" s="56" t="s">
        <v>495</v>
      </c>
      <c r="E83" s="56" t="s">
        <v>221</v>
      </c>
      <c r="F83" s="56" t="s">
        <v>222</v>
      </c>
      <c r="G83" s="56" t="s">
        <v>72</v>
      </c>
      <c r="H83" s="56">
        <v>408</v>
      </c>
      <c r="I83" s="56">
        <v>1218</v>
      </c>
      <c r="J83" s="71">
        <v>7.0731394774686587</v>
      </c>
      <c r="L83" s="54"/>
      <c r="M83" s="54"/>
      <c r="N83" s="54"/>
      <c r="O83" s="54"/>
      <c r="P83" s="54"/>
      <c r="Q83" s="54"/>
      <c r="R83" s="54"/>
    </row>
    <row r="84" spans="1:18">
      <c r="A84" s="56" t="s">
        <v>209</v>
      </c>
      <c r="B84" s="56" t="s">
        <v>210</v>
      </c>
      <c r="C84" s="56" t="s">
        <v>218</v>
      </c>
      <c r="D84" s="56" t="s">
        <v>495</v>
      </c>
      <c r="E84" s="56" t="s">
        <v>223</v>
      </c>
      <c r="F84" s="56" t="s">
        <v>224</v>
      </c>
      <c r="G84" s="56" t="s">
        <v>48</v>
      </c>
      <c r="H84" s="56">
        <v>1907</v>
      </c>
      <c r="I84" s="56">
        <v>21568</v>
      </c>
      <c r="J84" s="71">
        <v>5.8044655779808139</v>
      </c>
      <c r="L84" s="54"/>
      <c r="M84" s="54"/>
      <c r="N84" s="54"/>
      <c r="O84" s="54"/>
      <c r="P84" s="54"/>
      <c r="Q84" s="54"/>
      <c r="R84" s="54"/>
    </row>
    <row r="85" spans="1:18">
      <c r="A85" s="56" t="s">
        <v>209</v>
      </c>
      <c r="B85" s="56" t="s">
        <v>210</v>
      </c>
      <c r="C85" s="56" t="s">
        <v>225</v>
      </c>
      <c r="D85" s="56" t="s">
        <v>496</v>
      </c>
      <c r="E85" s="56" t="s">
        <v>226</v>
      </c>
      <c r="F85" s="56" t="s">
        <v>227</v>
      </c>
      <c r="G85" s="56" t="s">
        <v>48</v>
      </c>
      <c r="H85" s="56">
        <v>44</v>
      </c>
      <c r="I85" s="56">
        <v>3968</v>
      </c>
      <c r="J85" s="71">
        <v>6.7297979797979792</v>
      </c>
      <c r="L85" s="54"/>
      <c r="M85" s="54"/>
      <c r="N85" s="54"/>
      <c r="O85" s="54"/>
      <c r="P85" s="54"/>
      <c r="Q85" s="54"/>
      <c r="R85" s="54"/>
    </row>
    <row r="86" spans="1:18">
      <c r="A86" s="56" t="s">
        <v>209</v>
      </c>
      <c r="B86" s="56" t="s">
        <v>210</v>
      </c>
      <c r="C86" s="56" t="s">
        <v>225</v>
      </c>
      <c r="D86" s="56" t="s">
        <v>496</v>
      </c>
      <c r="E86" s="56" t="s">
        <v>228</v>
      </c>
      <c r="F86" s="56" t="s">
        <v>229</v>
      </c>
      <c r="G86" s="56" t="s">
        <v>88</v>
      </c>
      <c r="H86" s="56">
        <v>1422</v>
      </c>
      <c r="I86" s="56">
        <v>4235</v>
      </c>
      <c r="J86" s="71">
        <v>7.3915838046920932</v>
      </c>
      <c r="L86" s="54"/>
      <c r="M86" s="54"/>
      <c r="N86" s="54"/>
      <c r="O86" s="54"/>
      <c r="P86" s="54"/>
      <c r="Q86" s="54"/>
      <c r="R86" s="54"/>
    </row>
    <row r="87" spans="1:18">
      <c r="A87" s="56" t="s">
        <v>209</v>
      </c>
      <c r="B87" s="56" t="s">
        <v>210</v>
      </c>
      <c r="C87" s="56" t="s">
        <v>225</v>
      </c>
      <c r="D87" s="56" t="s">
        <v>496</v>
      </c>
      <c r="E87" s="56" t="s">
        <v>230</v>
      </c>
      <c r="F87" s="56" t="s">
        <v>231</v>
      </c>
      <c r="G87" s="56" t="s">
        <v>55</v>
      </c>
      <c r="H87" s="56">
        <v>828</v>
      </c>
      <c r="I87" s="56">
        <v>2839</v>
      </c>
      <c r="J87" s="71">
        <v>7.2513547513235634</v>
      </c>
      <c r="L87" s="54"/>
      <c r="M87" s="54"/>
      <c r="N87" s="54"/>
      <c r="O87" s="54"/>
      <c r="P87" s="54"/>
      <c r="Q87" s="54"/>
      <c r="R87" s="54"/>
    </row>
    <row r="88" spans="1:18">
      <c r="A88" s="56" t="s">
        <v>209</v>
      </c>
      <c r="B88" s="56" t="s">
        <v>210</v>
      </c>
      <c r="C88" s="56" t="s">
        <v>225</v>
      </c>
      <c r="D88" s="56" t="s">
        <v>496</v>
      </c>
      <c r="E88" s="56" t="s">
        <v>232</v>
      </c>
      <c r="F88" s="56" t="s">
        <v>233</v>
      </c>
      <c r="G88" s="56" t="s">
        <v>48</v>
      </c>
      <c r="H88" s="56">
        <v>1817</v>
      </c>
      <c r="I88" s="56">
        <v>13473</v>
      </c>
      <c r="J88" s="71">
        <v>6.4188947093392139</v>
      </c>
      <c r="L88" s="54"/>
      <c r="M88" s="54"/>
      <c r="N88" s="54"/>
      <c r="O88" s="54"/>
      <c r="P88" s="54"/>
      <c r="Q88" s="54"/>
      <c r="R88" s="54"/>
    </row>
    <row r="89" spans="1:18">
      <c r="A89" s="56" t="s">
        <v>209</v>
      </c>
      <c r="B89" s="56" t="s">
        <v>210</v>
      </c>
      <c r="C89" s="56" t="s">
        <v>234</v>
      </c>
      <c r="D89" s="56" t="s">
        <v>497</v>
      </c>
      <c r="E89" s="56" t="s">
        <v>235</v>
      </c>
      <c r="F89" s="56" t="s">
        <v>236</v>
      </c>
      <c r="G89" s="56" t="s">
        <v>88</v>
      </c>
      <c r="H89" s="56">
        <v>809</v>
      </c>
      <c r="I89" s="56">
        <v>2245</v>
      </c>
      <c r="J89" s="71">
        <v>7.233709421144094</v>
      </c>
      <c r="L89" s="54"/>
      <c r="M89" s="54"/>
      <c r="N89" s="54"/>
      <c r="O89" s="54"/>
      <c r="P89" s="54"/>
      <c r="Q89" s="54"/>
      <c r="R89" s="54"/>
    </row>
    <row r="90" spans="1:18">
      <c r="A90" s="56" t="s">
        <v>209</v>
      </c>
      <c r="B90" s="56" t="s">
        <v>210</v>
      </c>
      <c r="C90" s="56" t="s">
        <v>234</v>
      </c>
      <c r="D90" s="56" t="s">
        <v>497</v>
      </c>
      <c r="E90" s="56" t="s">
        <v>237</v>
      </c>
      <c r="F90" s="56" t="s">
        <v>238</v>
      </c>
      <c r="G90" s="56" t="s">
        <v>55</v>
      </c>
      <c r="H90" s="56">
        <v>844</v>
      </c>
      <c r="I90" s="56">
        <v>2351</v>
      </c>
      <c r="J90" s="71">
        <v>7.2093849919789266</v>
      </c>
      <c r="L90" s="54"/>
      <c r="M90" s="54"/>
      <c r="N90" s="54"/>
      <c r="O90" s="54"/>
      <c r="P90" s="54"/>
      <c r="Q90" s="54"/>
      <c r="R90" s="54"/>
    </row>
    <row r="91" spans="1:18">
      <c r="A91" s="56" t="s">
        <v>209</v>
      </c>
      <c r="B91" s="56" t="s">
        <v>210</v>
      </c>
      <c r="C91" s="56" t="s">
        <v>234</v>
      </c>
      <c r="D91" s="56" t="s">
        <v>497</v>
      </c>
      <c r="E91" s="56" t="s">
        <v>239</v>
      </c>
      <c r="F91" s="56" t="s">
        <v>240</v>
      </c>
      <c r="G91" s="56" t="s">
        <v>48</v>
      </c>
      <c r="H91" s="56">
        <v>2141</v>
      </c>
      <c r="I91" s="56">
        <v>8389</v>
      </c>
      <c r="J91" s="71">
        <v>6.3670812543192659</v>
      </c>
      <c r="L91" s="54"/>
      <c r="M91" s="54"/>
      <c r="N91" s="54"/>
      <c r="O91" s="54"/>
      <c r="P91" s="54"/>
      <c r="Q91" s="54"/>
      <c r="R91" s="54"/>
    </row>
    <row r="92" spans="1:18">
      <c r="A92" s="56" t="s">
        <v>209</v>
      </c>
      <c r="B92" s="56" t="s">
        <v>210</v>
      </c>
      <c r="C92" s="56" t="s">
        <v>241</v>
      </c>
      <c r="D92" s="56" t="s">
        <v>498</v>
      </c>
      <c r="E92" s="56" t="s">
        <v>242</v>
      </c>
      <c r="F92" s="56" t="s">
        <v>243</v>
      </c>
      <c r="G92" s="56" t="s">
        <v>55</v>
      </c>
      <c r="H92" s="56">
        <v>904</v>
      </c>
      <c r="I92" s="56">
        <v>5558</v>
      </c>
      <c r="J92" s="71">
        <v>6.399643559488692</v>
      </c>
      <c r="L92" s="54"/>
      <c r="M92" s="54"/>
      <c r="N92" s="54"/>
      <c r="O92" s="54"/>
      <c r="P92" s="54"/>
      <c r="Q92" s="54"/>
      <c r="R92" s="54"/>
    </row>
    <row r="93" spans="1:18">
      <c r="A93" s="56" t="s">
        <v>209</v>
      </c>
      <c r="B93" s="56" t="s">
        <v>210</v>
      </c>
      <c r="C93" s="56" t="s">
        <v>241</v>
      </c>
      <c r="D93" s="56" t="s">
        <v>498</v>
      </c>
      <c r="E93" s="56" t="s">
        <v>244</v>
      </c>
      <c r="F93" s="56" t="s">
        <v>245</v>
      </c>
      <c r="G93" s="56" t="s">
        <v>48</v>
      </c>
      <c r="H93" s="56">
        <v>49</v>
      </c>
      <c r="I93" s="56">
        <v>16152</v>
      </c>
      <c r="J93" s="71">
        <v>7.029478458049887</v>
      </c>
      <c r="L93" s="54"/>
      <c r="M93" s="54"/>
      <c r="N93" s="54"/>
      <c r="O93" s="54"/>
      <c r="P93" s="54"/>
      <c r="Q93" s="54"/>
      <c r="R93" s="54"/>
    </row>
    <row r="94" spans="1:18">
      <c r="A94" s="56" t="s">
        <v>209</v>
      </c>
      <c r="B94" s="56" t="s">
        <v>210</v>
      </c>
      <c r="C94" s="56" t="s">
        <v>246</v>
      </c>
      <c r="D94" s="56" t="s">
        <v>499</v>
      </c>
      <c r="E94" s="56" t="s">
        <v>247</v>
      </c>
      <c r="F94" s="56" t="s">
        <v>248</v>
      </c>
      <c r="G94" s="56" t="s">
        <v>55</v>
      </c>
      <c r="H94" s="56">
        <v>826</v>
      </c>
      <c r="I94" s="56">
        <v>9008</v>
      </c>
      <c r="J94" s="71">
        <v>7.4184381924768941</v>
      </c>
      <c r="L94" s="54"/>
      <c r="M94" s="54"/>
      <c r="N94" s="54"/>
      <c r="O94" s="54"/>
      <c r="P94" s="54"/>
      <c r="Q94" s="54"/>
      <c r="R94" s="54"/>
    </row>
    <row r="95" spans="1:18">
      <c r="A95" s="56" t="s">
        <v>209</v>
      </c>
      <c r="B95" s="56" t="s">
        <v>210</v>
      </c>
      <c r="C95" s="56" t="s">
        <v>249</v>
      </c>
      <c r="D95" s="56" t="s">
        <v>500</v>
      </c>
      <c r="E95" s="56" t="s">
        <v>250</v>
      </c>
      <c r="F95" s="56" t="s">
        <v>251</v>
      </c>
      <c r="G95" s="56" t="s">
        <v>88</v>
      </c>
      <c r="H95" s="56">
        <v>17</v>
      </c>
      <c r="I95" s="56">
        <v>1559</v>
      </c>
      <c r="J95" s="71">
        <v>6.0457516339869279</v>
      </c>
      <c r="L95" s="54"/>
      <c r="M95" s="54"/>
      <c r="N95" s="54"/>
      <c r="O95" s="54"/>
      <c r="P95" s="54"/>
      <c r="Q95" s="54"/>
      <c r="R95" s="54"/>
    </row>
    <row r="96" spans="1:18">
      <c r="A96" s="56" t="s">
        <v>209</v>
      </c>
      <c r="B96" s="56" t="s">
        <v>210</v>
      </c>
      <c r="C96" s="56" t="s">
        <v>249</v>
      </c>
      <c r="D96" s="56" t="s">
        <v>500</v>
      </c>
      <c r="E96" s="56" t="s">
        <v>252</v>
      </c>
      <c r="F96" s="56" t="s">
        <v>253</v>
      </c>
      <c r="G96" s="56" t="s">
        <v>72</v>
      </c>
      <c r="H96" s="56">
        <v>10</v>
      </c>
      <c r="I96" s="56">
        <v>1618</v>
      </c>
      <c r="J96" s="71">
        <v>5.6388888888888893</v>
      </c>
      <c r="L96" s="54"/>
      <c r="M96" s="54"/>
      <c r="N96" s="54"/>
      <c r="O96" s="54"/>
      <c r="P96" s="54"/>
      <c r="Q96" s="54"/>
      <c r="R96" s="54"/>
    </row>
    <row r="97" spans="1:18">
      <c r="A97" s="56" t="s">
        <v>209</v>
      </c>
      <c r="B97" s="56" t="s">
        <v>210</v>
      </c>
      <c r="C97" s="56" t="s">
        <v>249</v>
      </c>
      <c r="D97" s="56" t="s">
        <v>500</v>
      </c>
      <c r="E97" s="56" t="s">
        <v>254</v>
      </c>
      <c r="F97" s="56" t="s">
        <v>255</v>
      </c>
      <c r="G97" s="56" t="s">
        <v>48</v>
      </c>
      <c r="H97" s="56">
        <v>1193</v>
      </c>
      <c r="I97" s="56">
        <v>6873</v>
      </c>
      <c r="J97" s="71">
        <v>6.0249604172487663</v>
      </c>
      <c r="L97" s="54"/>
      <c r="M97" s="54"/>
      <c r="N97" s="54"/>
      <c r="O97" s="54"/>
      <c r="P97" s="54"/>
      <c r="Q97" s="54"/>
      <c r="R97" s="54"/>
    </row>
    <row r="98" spans="1:18">
      <c r="A98" s="56" t="s">
        <v>209</v>
      </c>
      <c r="B98" s="56" t="s">
        <v>210</v>
      </c>
      <c r="C98" s="56" t="s">
        <v>256</v>
      </c>
      <c r="D98" s="56" t="s">
        <v>501</v>
      </c>
      <c r="E98" s="56" t="s">
        <v>257</v>
      </c>
      <c r="F98" s="56" t="s">
        <v>258</v>
      </c>
      <c r="G98" s="56" t="s">
        <v>48</v>
      </c>
      <c r="H98" s="56">
        <v>1244</v>
      </c>
      <c r="I98" s="56">
        <v>4791</v>
      </c>
      <c r="J98" s="71">
        <v>6.2287214044559542</v>
      </c>
      <c r="L98" s="54"/>
      <c r="M98" s="54"/>
      <c r="N98" s="54"/>
      <c r="O98" s="54"/>
      <c r="P98" s="54"/>
      <c r="Q98" s="54"/>
      <c r="R98" s="54"/>
    </row>
    <row r="99" spans="1:18">
      <c r="A99" s="56" t="s">
        <v>209</v>
      </c>
      <c r="B99" s="56" t="s">
        <v>210</v>
      </c>
      <c r="C99" s="56" t="s">
        <v>256</v>
      </c>
      <c r="D99" s="56" t="s">
        <v>501</v>
      </c>
      <c r="E99" s="56" t="s">
        <v>259</v>
      </c>
      <c r="F99" s="56" t="s">
        <v>260</v>
      </c>
      <c r="G99" s="56" t="s">
        <v>48</v>
      </c>
      <c r="H99" s="56">
        <v>1213</v>
      </c>
      <c r="I99" s="56">
        <v>5584</v>
      </c>
      <c r="J99" s="71">
        <v>6.1649011256258204</v>
      </c>
      <c r="L99" s="54"/>
      <c r="M99" s="54"/>
      <c r="N99" s="54"/>
      <c r="O99" s="54"/>
      <c r="P99" s="54"/>
      <c r="Q99" s="54"/>
      <c r="R99" s="54"/>
    </row>
    <row r="100" spans="1:18">
      <c r="A100" s="56" t="s">
        <v>209</v>
      </c>
      <c r="B100" s="56" t="s">
        <v>210</v>
      </c>
      <c r="C100" s="56" t="s">
        <v>256</v>
      </c>
      <c r="D100" s="56" t="s">
        <v>501</v>
      </c>
      <c r="E100" s="56" t="s">
        <v>261</v>
      </c>
      <c r="F100" s="56" t="s">
        <v>262</v>
      </c>
      <c r="G100" s="56" t="s">
        <v>55</v>
      </c>
      <c r="H100" s="56">
        <v>1494</v>
      </c>
      <c r="I100" s="56">
        <v>4485</v>
      </c>
      <c r="J100" s="71">
        <v>7.3146656313507465</v>
      </c>
      <c r="L100" s="54"/>
      <c r="M100" s="54"/>
      <c r="N100" s="54"/>
      <c r="O100" s="54"/>
      <c r="P100" s="54"/>
      <c r="Q100" s="54"/>
      <c r="R100" s="54"/>
    </row>
    <row r="101" spans="1:18">
      <c r="A101" s="56" t="s">
        <v>209</v>
      </c>
      <c r="B101" s="56" t="s">
        <v>210</v>
      </c>
      <c r="C101" s="56" t="s">
        <v>263</v>
      </c>
      <c r="D101" s="56" t="s">
        <v>502</v>
      </c>
      <c r="E101" s="56" t="s">
        <v>264</v>
      </c>
      <c r="F101" s="56" t="s">
        <v>265</v>
      </c>
      <c r="G101" s="56" t="s">
        <v>178</v>
      </c>
      <c r="H101" s="56">
        <v>203</v>
      </c>
      <c r="I101" s="56">
        <v>3960</v>
      </c>
      <c r="J101" s="71">
        <v>5.3188286808976466</v>
      </c>
      <c r="L101" s="54"/>
      <c r="M101" s="54"/>
      <c r="N101" s="54"/>
      <c r="O101" s="54"/>
      <c r="P101" s="54"/>
      <c r="Q101" s="54"/>
      <c r="R101" s="54"/>
    </row>
    <row r="102" spans="1:18">
      <c r="A102" s="56" t="s">
        <v>209</v>
      </c>
      <c r="B102" s="56" t="s">
        <v>210</v>
      </c>
      <c r="C102" s="56" t="s">
        <v>263</v>
      </c>
      <c r="D102" s="56" t="s">
        <v>502</v>
      </c>
      <c r="E102" s="56" t="s">
        <v>266</v>
      </c>
      <c r="F102" s="56" t="s">
        <v>267</v>
      </c>
      <c r="G102" s="56" t="s">
        <v>48</v>
      </c>
      <c r="H102" s="56">
        <v>2407</v>
      </c>
      <c r="I102" s="56">
        <v>17419</v>
      </c>
      <c r="J102" s="71">
        <v>6.3786179199556843</v>
      </c>
      <c r="L102" s="54"/>
      <c r="M102" s="54"/>
      <c r="N102" s="54"/>
      <c r="O102" s="54"/>
      <c r="P102" s="54"/>
      <c r="Q102" s="54"/>
      <c r="R102" s="54"/>
    </row>
    <row r="103" spans="1:18">
      <c r="A103" s="56" t="s">
        <v>209</v>
      </c>
      <c r="B103" s="56" t="s">
        <v>210</v>
      </c>
      <c r="C103" s="56" t="s">
        <v>263</v>
      </c>
      <c r="D103" s="56" t="s">
        <v>502</v>
      </c>
      <c r="E103" s="56" t="s">
        <v>268</v>
      </c>
      <c r="F103" s="56" t="s">
        <v>269</v>
      </c>
      <c r="G103" s="56" t="s">
        <v>55</v>
      </c>
      <c r="H103" s="56">
        <v>716</v>
      </c>
      <c r="I103" s="56">
        <v>8875</v>
      </c>
      <c r="J103" s="71">
        <v>6.4481041254901141</v>
      </c>
      <c r="L103" s="54"/>
      <c r="M103" s="54"/>
      <c r="N103" s="54"/>
      <c r="O103" s="54"/>
      <c r="P103" s="54"/>
      <c r="Q103" s="54"/>
      <c r="R103" s="54"/>
    </row>
    <row r="104" spans="1:18">
      <c r="A104" s="56" t="s">
        <v>209</v>
      </c>
      <c r="B104" s="56" t="s">
        <v>210</v>
      </c>
      <c r="C104" s="56" t="s">
        <v>263</v>
      </c>
      <c r="D104" s="56" t="s">
        <v>502</v>
      </c>
      <c r="E104" s="56" t="s">
        <v>270</v>
      </c>
      <c r="F104" s="56" t="s">
        <v>271</v>
      </c>
      <c r="G104" s="56" t="s">
        <v>48</v>
      </c>
      <c r="H104" s="56">
        <v>1302</v>
      </c>
      <c r="I104" s="56">
        <v>5618</v>
      </c>
      <c r="J104" s="71">
        <v>7.0959098980384283</v>
      </c>
      <c r="L104" s="54"/>
      <c r="M104" s="54"/>
      <c r="N104" s="54"/>
      <c r="O104" s="54"/>
      <c r="P104" s="54"/>
      <c r="Q104" s="54"/>
      <c r="R104" s="54"/>
    </row>
    <row r="105" spans="1:18">
      <c r="A105" s="56" t="s">
        <v>209</v>
      </c>
      <c r="B105" s="56" t="s">
        <v>210</v>
      </c>
      <c r="C105" s="56" t="s">
        <v>272</v>
      </c>
      <c r="D105" s="56" t="s">
        <v>503</v>
      </c>
      <c r="E105" s="56" t="s">
        <v>273</v>
      </c>
      <c r="F105" s="56" t="s">
        <v>274</v>
      </c>
      <c r="G105" s="56" t="s">
        <v>55</v>
      </c>
      <c r="H105" s="56">
        <v>316</v>
      </c>
      <c r="I105" s="56">
        <v>4438</v>
      </c>
      <c r="J105" s="71">
        <v>6.0407876230661044</v>
      </c>
      <c r="L105" s="54"/>
      <c r="M105" s="54"/>
      <c r="N105" s="54"/>
      <c r="O105" s="54"/>
      <c r="P105" s="54"/>
      <c r="Q105" s="54"/>
      <c r="R105" s="54"/>
    </row>
    <row r="106" spans="1:18">
      <c r="A106" s="56" t="s">
        <v>209</v>
      </c>
      <c r="B106" s="56" t="s">
        <v>210</v>
      </c>
      <c r="C106" s="56" t="s">
        <v>272</v>
      </c>
      <c r="D106" s="56" t="s">
        <v>503</v>
      </c>
      <c r="E106" s="56" t="s">
        <v>275</v>
      </c>
      <c r="F106" s="56" t="s">
        <v>276</v>
      </c>
      <c r="G106" s="56" t="s">
        <v>55</v>
      </c>
      <c r="H106" s="56">
        <v>508</v>
      </c>
      <c r="I106" s="56">
        <v>3621</v>
      </c>
      <c r="J106" s="71">
        <v>6.3194444444444455</v>
      </c>
      <c r="L106" s="54"/>
      <c r="M106" s="54"/>
      <c r="N106" s="54"/>
      <c r="O106" s="54"/>
      <c r="P106" s="54"/>
      <c r="Q106" s="54"/>
      <c r="R106" s="54"/>
    </row>
    <row r="107" spans="1:18">
      <c r="A107" s="56" t="s">
        <v>209</v>
      </c>
      <c r="B107" s="56" t="s">
        <v>210</v>
      </c>
      <c r="C107" s="56" t="s">
        <v>272</v>
      </c>
      <c r="D107" s="56" t="s">
        <v>503</v>
      </c>
      <c r="E107" s="56" t="s">
        <v>277</v>
      </c>
      <c r="F107" s="56" t="s">
        <v>278</v>
      </c>
      <c r="G107" s="56" t="s">
        <v>48</v>
      </c>
      <c r="H107" s="56">
        <v>61</v>
      </c>
      <c r="I107" s="56">
        <v>401</v>
      </c>
      <c r="J107" s="71">
        <v>6.7987249544626591</v>
      </c>
      <c r="L107" s="54"/>
      <c r="M107" s="54"/>
      <c r="N107" s="54"/>
      <c r="O107" s="54"/>
      <c r="P107" s="54"/>
      <c r="Q107" s="54"/>
      <c r="R107" s="54"/>
    </row>
    <row r="108" spans="1:18">
      <c r="A108" s="56" t="s">
        <v>209</v>
      </c>
      <c r="B108" s="56" t="s">
        <v>210</v>
      </c>
      <c r="C108" s="56" t="s">
        <v>272</v>
      </c>
      <c r="D108" s="56" t="s">
        <v>503</v>
      </c>
      <c r="E108" s="56" t="s">
        <v>279</v>
      </c>
      <c r="F108" s="56" t="s">
        <v>280</v>
      </c>
      <c r="G108" s="56" t="s">
        <v>48</v>
      </c>
      <c r="H108" s="56">
        <v>1554</v>
      </c>
      <c r="I108" s="56">
        <v>7301</v>
      </c>
      <c r="J108" s="71">
        <v>6.6167515865839048</v>
      </c>
      <c r="L108" s="54"/>
      <c r="M108" s="54"/>
      <c r="N108" s="54"/>
      <c r="O108" s="54"/>
      <c r="P108" s="54"/>
      <c r="Q108" s="54"/>
      <c r="R108" s="54"/>
    </row>
    <row r="109" spans="1:18">
      <c r="A109" s="56" t="s">
        <v>209</v>
      </c>
      <c r="B109" s="56" t="s">
        <v>210</v>
      </c>
      <c r="C109" s="56" t="s">
        <v>272</v>
      </c>
      <c r="D109" s="56" t="s">
        <v>503</v>
      </c>
      <c r="E109" s="56" t="s">
        <v>281</v>
      </c>
      <c r="F109" s="56" t="s">
        <v>282</v>
      </c>
      <c r="G109" s="56" t="s">
        <v>48</v>
      </c>
      <c r="H109" s="56">
        <v>360</v>
      </c>
      <c r="I109" s="56">
        <v>5467</v>
      </c>
      <c r="J109" s="71">
        <v>6.435185185185186</v>
      </c>
      <c r="L109" s="54"/>
      <c r="M109" s="54"/>
      <c r="N109" s="54"/>
      <c r="O109" s="54"/>
      <c r="P109" s="54"/>
      <c r="Q109" s="54"/>
      <c r="R109" s="54"/>
    </row>
    <row r="110" spans="1:18">
      <c r="A110" s="56" t="s">
        <v>209</v>
      </c>
      <c r="B110" s="56" t="s">
        <v>210</v>
      </c>
      <c r="C110" s="56" t="s">
        <v>272</v>
      </c>
      <c r="D110" s="56" t="s">
        <v>503</v>
      </c>
      <c r="E110" s="56" t="s">
        <v>283</v>
      </c>
      <c r="F110" s="56" t="s">
        <v>284</v>
      </c>
      <c r="G110" s="56" t="s">
        <v>48</v>
      </c>
      <c r="H110" s="56">
        <v>204</v>
      </c>
      <c r="I110" s="56">
        <v>10270</v>
      </c>
      <c r="J110" s="71">
        <v>6.7088779956427018</v>
      </c>
      <c r="L110" s="54"/>
      <c r="M110" s="54"/>
      <c r="N110" s="54"/>
      <c r="O110" s="54"/>
      <c r="P110" s="54"/>
      <c r="Q110" s="54"/>
      <c r="R110" s="54"/>
    </row>
    <row r="111" spans="1:18">
      <c r="A111" s="56" t="s">
        <v>209</v>
      </c>
      <c r="B111" s="56" t="s">
        <v>210</v>
      </c>
      <c r="C111" s="56" t="s">
        <v>272</v>
      </c>
      <c r="D111" s="56" t="s">
        <v>503</v>
      </c>
      <c r="E111" s="56" t="s">
        <v>285</v>
      </c>
      <c r="F111" s="56" t="s">
        <v>286</v>
      </c>
      <c r="G111" s="56" t="s">
        <v>48</v>
      </c>
      <c r="H111" s="56">
        <v>853</v>
      </c>
      <c r="I111" s="56">
        <v>4595</v>
      </c>
      <c r="J111" s="71">
        <v>6.21987755633711</v>
      </c>
      <c r="L111" s="54"/>
      <c r="M111" s="54"/>
      <c r="N111" s="54"/>
      <c r="O111" s="54"/>
      <c r="P111" s="54"/>
      <c r="Q111" s="54"/>
      <c r="R111" s="54"/>
    </row>
    <row r="112" spans="1:18">
      <c r="A112" s="56" t="s">
        <v>209</v>
      </c>
      <c r="B112" s="56" t="s">
        <v>210</v>
      </c>
      <c r="C112" s="56" t="s">
        <v>287</v>
      </c>
      <c r="D112" s="56" t="s">
        <v>504</v>
      </c>
      <c r="E112" s="56" t="s">
        <v>288</v>
      </c>
      <c r="F112" s="56" t="s">
        <v>289</v>
      </c>
      <c r="G112" s="56" t="s">
        <v>55</v>
      </c>
      <c r="H112" s="56">
        <v>176</v>
      </c>
      <c r="I112" s="56">
        <v>3972</v>
      </c>
      <c r="J112" s="71">
        <v>6.5356691919191912</v>
      </c>
      <c r="L112" s="54"/>
      <c r="M112" s="54"/>
      <c r="N112" s="54"/>
      <c r="O112" s="54"/>
      <c r="P112" s="54"/>
      <c r="Q112" s="54"/>
      <c r="R112" s="54"/>
    </row>
    <row r="113" spans="1:18">
      <c r="A113" s="56" t="s">
        <v>209</v>
      </c>
      <c r="B113" s="56" t="s">
        <v>210</v>
      </c>
      <c r="C113" s="56" t="s">
        <v>287</v>
      </c>
      <c r="D113" s="56" t="s">
        <v>504</v>
      </c>
      <c r="E113" s="56" t="s">
        <v>290</v>
      </c>
      <c r="F113" s="56" t="s">
        <v>291</v>
      </c>
      <c r="G113" s="56" t="s">
        <v>48</v>
      </c>
      <c r="H113" s="56">
        <v>318</v>
      </c>
      <c r="I113" s="56">
        <v>2659</v>
      </c>
      <c r="J113" s="71">
        <v>6.2386443046820403</v>
      </c>
      <c r="L113" s="54"/>
      <c r="M113" s="54"/>
      <c r="N113" s="54"/>
      <c r="O113" s="54"/>
      <c r="P113" s="54"/>
      <c r="Q113" s="54"/>
      <c r="R113" s="54"/>
    </row>
    <row r="114" spans="1:18">
      <c r="A114" s="56" t="s">
        <v>209</v>
      </c>
      <c r="B114" s="56" t="s">
        <v>210</v>
      </c>
      <c r="C114" s="56" t="s">
        <v>287</v>
      </c>
      <c r="D114" s="56" t="s">
        <v>504</v>
      </c>
      <c r="E114" s="56" t="s">
        <v>292</v>
      </c>
      <c r="F114" s="56" t="s">
        <v>293</v>
      </c>
      <c r="G114" s="56" t="s">
        <v>48</v>
      </c>
      <c r="H114" s="56">
        <v>222</v>
      </c>
      <c r="I114" s="56">
        <v>4891</v>
      </c>
      <c r="J114" s="71">
        <v>6.786786786786787</v>
      </c>
      <c r="L114" s="54"/>
      <c r="M114" s="54"/>
      <c r="N114" s="54"/>
      <c r="O114" s="54"/>
      <c r="P114" s="54"/>
      <c r="Q114" s="54"/>
      <c r="R114" s="54"/>
    </row>
    <row r="115" spans="1:18">
      <c r="A115" s="56" t="s">
        <v>209</v>
      </c>
      <c r="B115" s="56" t="s">
        <v>210</v>
      </c>
      <c r="C115" s="56" t="s">
        <v>287</v>
      </c>
      <c r="D115" s="56" t="s">
        <v>504</v>
      </c>
      <c r="E115" s="56" t="s">
        <v>294</v>
      </c>
      <c r="F115" s="56" t="s">
        <v>295</v>
      </c>
      <c r="G115" s="56" t="s">
        <v>48</v>
      </c>
      <c r="H115" s="56">
        <v>77</v>
      </c>
      <c r="I115" s="56">
        <v>9237</v>
      </c>
      <c r="J115" s="71">
        <v>6.0137085137085142</v>
      </c>
      <c r="L115" s="54"/>
      <c r="M115" s="54"/>
      <c r="N115" s="54"/>
      <c r="O115" s="54"/>
      <c r="P115" s="54"/>
      <c r="Q115" s="54"/>
      <c r="R115" s="54"/>
    </row>
    <row r="116" spans="1:18">
      <c r="A116" s="56" t="s">
        <v>296</v>
      </c>
      <c r="B116" s="56" t="s">
        <v>297</v>
      </c>
      <c r="C116" s="56" t="s">
        <v>298</v>
      </c>
      <c r="D116" s="56" t="s">
        <v>505</v>
      </c>
      <c r="E116" s="56" t="s">
        <v>299</v>
      </c>
      <c r="F116" s="56" t="s">
        <v>300</v>
      </c>
      <c r="G116" s="56" t="s">
        <v>55</v>
      </c>
      <c r="H116" s="56">
        <v>449</v>
      </c>
      <c r="I116" s="56">
        <v>5894</v>
      </c>
      <c r="J116" s="71">
        <v>6.442712199950507</v>
      </c>
      <c r="L116" s="54"/>
      <c r="M116" s="54"/>
      <c r="N116" s="54"/>
      <c r="O116" s="54"/>
      <c r="P116" s="54"/>
      <c r="Q116" s="54"/>
      <c r="R116" s="54"/>
    </row>
    <row r="117" spans="1:18">
      <c r="A117" s="56" t="s">
        <v>296</v>
      </c>
      <c r="B117" s="56" t="s">
        <v>297</v>
      </c>
      <c r="C117" s="56" t="s">
        <v>301</v>
      </c>
      <c r="D117" s="56" t="s">
        <v>506</v>
      </c>
      <c r="E117" s="56" t="s">
        <v>302</v>
      </c>
      <c r="F117" s="56" t="s">
        <v>303</v>
      </c>
      <c r="G117" s="56" t="s">
        <v>48</v>
      </c>
      <c r="H117" s="56">
        <v>162</v>
      </c>
      <c r="I117" s="56">
        <v>3805</v>
      </c>
      <c r="J117" s="71">
        <v>6.2019890260630994</v>
      </c>
      <c r="L117" s="54"/>
      <c r="M117" s="54"/>
      <c r="N117" s="54"/>
      <c r="O117" s="54"/>
      <c r="P117" s="54"/>
      <c r="Q117" s="54"/>
      <c r="R117" s="54"/>
    </row>
    <row r="118" spans="1:18">
      <c r="A118" s="56" t="s">
        <v>296</v>
      </c>
      <c r="B118" s="56" t="s">
        <v>297</v>
      </c>
      <c r="C118" s="56" t="s">
        <v>304</v>
      </c>
      <c r="D118" s="56" t="s">
        <v>507</v>
      </c>
      <c r="E118" s="56" t="s">
        <v>305</v>
      </c>
      <c r="F118" s="56" t="s">
        <v>306</v>
      </c>
      <c r="G118" s="56" t="s">
        <v>48</v>
      </c>
      <c r="H118" s="56">
        <v>47</v>
      </c>
      <c r="I118" s="56">
        <v>11162</v>
      </c>
      <c r="J118" s="71">
        <v>5.7328605200945626</v>
      </c>
      <c r="L118" s="54"/>
      <c r="M118" s="54"/>
      <c r="N118" s="54"/>
      <c r="O118" s="54"/>
      <c r="P118" s="54"/>
      <c r="Q118" s="54"/>
      <c r="R118" s="54"/>
    </row>
    <row r="119" spans="1:18">
      <c r="A119" s="56" t="s">
        <v>296</v>
      </c>
      <c r="B119" s="56" t="s">
        <v>297</v>
      </c>
      <c r="C119" s="56" t="s">
        <v>304</v>
      </c>
      <c r="D119" s="56" t="s">
        <v>507</v>
      </c>
      <c r="E119" s="56" t="s">
        <v>307</v>
      </c>
      <c r="F119" s="56" t="s">
        <v>308</v>
      </c>
      <c r="G119" s="56" t="s">
        <v>48</v>
      </c>
      <c r="H119" s="56">
        <v>1321</v>
      </c>
      <c r="I119" s="56">
        <v>4779</v>
      </c>
      <c r="J119" s="71">
        <v>6.9459679610457927</v>
      </c>
      <c r="L119" s="54"/>
      <c r="M119" s="54"/>
      <c r="N119" s="54"/>
      <c r="O119" s="54"/>
      <c r="P119" s="54"/>
      <c r="Q119" s="54"/>
      <c r="R119" s="54"/>
    </row>
    <row r="120" spans="1:18">
      <c r="A120" s="56" t="s">
        <v>296</v>
      </c>
      <c r="B120" s="56" t="s">
        <v>297</v>
      </c>
      <c r="C120" s="56" t="s">
        <v>309</v>
      </c>
      <c r="D120" s="56" t="s">
        <v>508</v>
      </c>
      <c r="E120" s="56" t="s">
        <v>310</v>
      </c>
      <c r="F120" s="56" t="s">
        <v>311</v>
      </c>
      <c r="G120" s="56" t="s">
        <v>48</v>
      </c>
      <c r="H120" s="56">
        <v>120</v>
      </c>
      <c r="I120" s="56">
        <v>6324</v>
      </c>
      <c r="J120" s="71">
        <v>6.208333333333333</v>
      </c>
      <c r="L120" s="54"/>
      <c r="M120" s="54"/>
      <c r="N120" s="54"/>
      <c r="O120" s="54"/>
      <c r="P120" s="54"/>
      <c r="Q120" s="54"/>
      <c r="R120" s="54"/>
    </row>
    <row r="121" spans="1:18">
      <c r="A121" s="56" t="s">
        <v>296</v>
      </c>
      <c r="B121" s="56" t="s">
        <v>297</v>
      </c>
      <c r="C121" s="56" t="s">
        <v>309</v>
      </c>
      <c r="D121" s="56" t="s">
        <v>508</v>
      </c>
      <c r="E121" s="56" t="s">
        <v>312</v>
      </c>
      <c r="F121" s="56" t="s">
        <v>313</v>
      </c>
      <c r="G121" s="56" t="s">
        <v>88</v>
      </c>
      <c r="H121" s="56">
        <v>117</v>
      </c>
      <c r="I121" s="56">
        <v>2680</v>
      </c>
      <c r="J121" s="71">
        <v>6.7331433998100669</v>
      </c>
      <c r="L121" s="54"/>
      <c r="M121" s="54"/>
      <c r="N121" s="54"/>
      <c r="O121" s="54"/>
      <c r="P121" s="54"/>
      <c r="Q121" s="54"/>
      <c r="R121" s="54"/>
    </row>
    <row r="122" spans="1:18">
      <c r="A122" s="56" t="s">
        <v>296</v>
      </c>
      <c r="B122" s="56" t="s">
        <v>297</v>
      </c>
      <c r="C122" s="56" t="s">
        <v>309</v>
      </c>
      <c r="D122" s="56" t="s">
        <v>508</v>
      </c>
      <c r="E122" s="56" t="s">
        <v>314</v>
      </c>
      <c r="F122" s="56" t="s">
        <v>315</v>
      </c>
      <c r="G122" s="56" t="s">
        <v>55</v>
      </c>
      <c r="H122" s="56">
        <v>646</v>
      </c>
      <c r="I122" s="56">
        <v>3659</v>
      </c>
      <c r="J122" s="71">
        <v>7.2474260928609624</v>
      </c>
      <c r="L122" s="54"/>
      <c r="M122" s="54"/>
      <c r="N122" s="54"/>
      <c r="O122" s="54"/>
      <c r="P122" s="54"/>
      <c r="Q122" s="54"/>
      <c r="R122" s="54"/>
    </row>
    <row r="123" spans="1:18">
      <c r="A123" s="56" t="s">
        <v>296</v>
      </c>
      <c r="B123" s="56" t="s">
        <v>297</v>
      </c>
      <c r="C123" s="56" t="s">
        <v>309</v>
      </c>
      <c r="D123" s="56" t="s">
        <v>508</v>
      </c>
      <c r="E123" s="56" t="s">
        <v>316</v>
      </c>
      <c r="F123" s="56" t="s">
        <v>317</v>
      </c>
      <c r="G123" s="56" t="s">
        <v>48</v>
      </c>
      <c r="H123" s="56">
        <v>267</v>
      </c>
      <c r="I123" s="56">
        <v>3739</v>
      </c>
      <c r="J123" s="71">
        <v>6.1548064918851439</v>
      </c>
      <c r="L123" s="54"/>
      <c r="M123" s="54"/>
      <c r="N123" s="54"/>
      <c r="O123" s="54"/>
      <c r="P123" s="54"/>
      <c r="Q123" s="54"/>
      <c r="R123" s="54"/>
    </row>
    <row r="124" spans="1:18">
      <c r="A124" s="56" t="s">
        <v>296</v>
      </c>
      <c r="B124" s="56" t="s">
        <v>297</v>
      </c>
      <c r="C124" s="56" t="s">
        <v>309</v>
      </c>
      <c r="D124" s="56" t="s">
        <v>508</v>
      </c>
      <c r="E124" s="56" t="s">
        <v>318</v>
      </c>
      <c r="F124" s="56" t="s">
        <v>319</v>
      </c>
      <c r="G124" s="56" t="s">
        <v>48</v>
      </c>
      <c r="H124" s="56">
        <v>645</v>
      </c>
      <c r="I124" s="56">
        <v>5221</v>
      </c>
      <c r="J124" s="71">
        <v>6.0288544358311809</v>
      </c>
      <c r="L124" s="54"/>
      <c r="M124" s="54"/>
      <c r="N124" s="54"/>
      <c r="O124" s="54"/>
      <c r="P124" s="54"/>
      <c r="Q124" s="54"/>
      <c r="R124" s="54"/>
    </row>
    <row r="125" spans="1:18">
      <c r="A125" s="56" t="s">
        <v>296</v>
      </c>
      <c r="B125" s="56" t="s">
        <v>297</v>
      </c>
      <c r="C125" s="56" t="s">
        <v>320</v>
      </c>
      <c r="D125" s="56" t="s">
        <v>509</v>
      </c>
      <c r="E125" s="56" t="s">
        <v>321</v>
      </c>
      <c r="F125" s="56" t="s">
        <v>322</v>
      </c>
      <c r="G125" s="56" t="s">
        <v>48</v>
      </c>
      <c r="H125" s="56">
        <v>186</v>
      </c>
      <c r="I125" s="56">
        <v>8926</v>
      </c>
      <c r="J125" s="71">
        <v>5.4256272401433705</v>
      </c>
      <c r="L125" s="54"/>
      <c r="M125" s="54"/>
      <c r="N125" s="54"/>
      <c r="O125" s="54"/>
      <c r="P125" s="54"/>
      <c r="Q125" s="54"/>
      <c r="R125" s="54"/>
    </row>
    <row r="126" spans="1:18">
      <c r="A126" s="56" t="s">
        <v>296</v>
      </c>
      <c r="B126" s="56" t="s">
        <v>297</v>
      </c>
      <c r="C126" s="56" t="s">
        <v>320</v>
      </c>
      <c r="D126" s="56" t="s">
        <v>509</v>
      </c>
      <c r="E126" s="56" t="s">
        <v>323</v>
      </c>
      <c r="F126" s="56" t="s">
        <v>324</v>
      </c>
      <c r="G126" s="56" t="s">
        <v>55</v>
      </c>
      <c r="H126" s="56">
        <v>1083</v>
      </c>
      <c r="I126" s="56">
        <v>4681</v>
      </c>
      <c r="J126" s="71">
        <v>6.5228835537152712</v>
      </c>
      <c r="L126" s="54"/>
      <c r="M126" s="54"/>
      <c r="N126" s="54"/>
      <c r="O126" s="54"/>
      <c r="P126" s="54"/>
      <c r="Q126" s="54"/>
      <c r="R126" s="54"/>
    </row>
    <row r="127" spans="1:18">
      <c r="A127" s="56" t="s">
        <v>296</v>
      </c>
      <c r="B127" s="56" t="s">
        <v>297</v>
      </c>
      <c r="C127" s="56" t="s">
        <v>320</v>
      </c>
      <c r="D127" s="56" t="s">
        <v>509</v>
      </c>
      <c r="E127" s="56" t="s">
        <v>325</v>
      </c>
      <c r="F127" s="56" t="s">
        <v>326</v>
      </c>
      <c r="G127" s="56" t="s">
        <v>88</v>
      </c>
      <c r="H127" s="56">
        <v>276</v>
      </c>
      <c r="I127" s="56">
        <v>2363</v>
      </c>
      <c r="J127" s="71">
        <v>7.0923913043478253</v>
      </c>
      <c r="L127" s="54"/>
      <c r="M127" s="54"/>
      <c r="N127" s="54"/>
      <c r="O127" s="54"/>
      <c r="P127" s="54"/>
      <c r="Q127" s="54"/>
      <c r="R127" s="54"/>
    </row>
    <row r="128" spans="1:18">
      <c r="A128" s="56" t="s">
        <v>296</v>
      </c>
      <c r="B128" s="56" t="s">
        <v>297</v>
      </c>
      <c r="C128" s="56" t="s">
        <v>320</v>
      </c>
      <c r="D128" s="56" t="s">
        <v>509</v>
      </c>
      <c r="E128" s="56" t="s">
        <v>327</v>
      </c>
      <c r="F128" s="56" t="s">
        <v>328</v>
      </c>
      <c r="G128" s="56" t="s">
        <v>48</v>
      </c>
      <c r="H128" s="56">
        <v>406</v>
      </c>
      <c r="I128" s="56">
        <v>3741</v>
      </c>
      <c r="J128" s="71">
        <v>5.8223864258347007</v>
      </c>
      <c r="L128" s="54"/>
      <c r="M128" s="54"/>
      <c r="N128" s="54"/>
      <c r="O128" s="54"/>
      <c r="P128" s="54"/>
      <c r="Q128" s="54"/>
      <c r="R128" s="54"/>
    </row>
    <row r="129" spans="1:18">
      <c r="A129" s="56" t="s">
        <v>296</v>
      </c>
      <c r="B129" s="56" t="s">
        <v>297</v>
      </c>
      <c r="C129" s="56" t="s">
        <v>329</v>
      </c>
      <c r="D129" s="56" t="s">
        <v>510</v>
      </c>
      <c r="E129" s="56" t="s">
        <v>330</v>
      </c>
      <c r="F129" s="56" t="s">
        <v>331</v>
      </c>
      <c r="G129" s="56" t="s">
        <v>48</v>
      </c>
      <c r="H129" s="56">
        <v>3724</v>
      </c>
      <c r="I129" s="56">
        <v>11468</v>
      </c>
      <c r="J129" s="71">
        <v>6.8465207532191812</v>
      </c>
      <c r="L129" s="54"/>
      <c r="M129" s="54"/>
      <c r="N129" s="54"/>
      <c r="O129" s="54"/>
      <c r="P129" s="54"/>
      <c r="Q129" s="54"/>
      <c r="R129" s="54"/>
    </row>
    <row r="130" spans="1:18">
      <c r="A130" s="56" t="s">
        <v>296</v>
      </c>
      <c r="B130" s="56" t="s">
        <v>297</v>
      </c>
      <c r="C130" s="56" t="s">
        <v>329</v>
      </c>
      <c r="D130" s="56" t="s">
        <v>510</v>
      </c>
      <c r="E130" s="56" t="s">
        <v>332</v>
      </c>
      <c r="F130" s="56" t="s">
        <v>333</v>
      </c>
      <c r="G130" s="56" t="s">
        <v>55</v>
      </c>
      <c r="H130" s="56">
        <v>2275</v>
      </c>
      <c r="I130" s="56">
        <v>4368</v>
      </c>
      <c r="J130" s="71">
        <v>7.2857142857142856</v>
      </c>
      <c r="L130" s="54"/>
      <c r="M130" s="54"/>
      <c r="N130" s="54"/>
      <c r="O130" s="54"/>
      <c r="P130" s="54"/>
      <c r="Q130" s="54"/>
      <c r="R130" s="54"/>
    </row>
    <row r="131" spans="1:18">
      <c r="A131" s="56" t="s">
        <v>296</v>
      </c>
      <c r="B131" s="56" t="s">
        <v>297</v>
      </c>
      <c r="C131" s="56" t="s">
        <v>329</v>
      </c>
      <c r="D131" s="56" t="s">
        <v>510</v>
      </c>
      <c r="E131" s="56" t="s">
        <v>334</v>
      </c>
      <c r="F131" s="56" t="s">
        <v>335</v>
      </c>
      <c r="G131" s="56" t="s">
        <v>88</v>
      </c>
      <c r="H131" s="56">
        <v>89</v>
      </c>
      <c r="I131" s="56">
        <v>2775</v>
      </c>
      <c r="J131" s="71">
        <v>7.4126092384519353</v>
      </c>
      <c r="L131" s="54"/>
      <c r="M131" s="54"/>
      <c r="N131" s="54"/>
      <c r="O131" s="54"/>
      <c r="P131" s="54"/>
      <c r="Q131" s="54"/>
      <c r="R131" s="54"/>
    </row>
    <row r="132" spans="1:18">
      <c r="A132" s="56" t="s">
        <v>296</v>
      </c>
      <c r="B132" s="56" t="s">
        <v>297</v>
      </c>
      <c r="C132" s="56" t="s">
        <v>329</v>
      </c>
      <c r="D132" s="56" t="s">
        <v>510</v>
      </c>
      <c r="E132" s="56" t="s">
        <v>336</v>
      </c>
      <c r="F132" s="56" t="s">
        <v>337</v>
      </c>
      <c r="G132" s="56" t="s">
        <v>178</v>
      </c>
      <c r="H132" s="56">
        <v>1120</v>
      </c>
      <c r="I132" s="56">
        <v>5575</v>
      </c>
      <c r="J132" s="71">
        <v>4.902281746031746</v>
      </c>
      <c r="L132" s="54"/>
      <c r="M132" s="54"/>
      <c r="N132" s="54"/>
      <c r="O132" s="54"/>
      <c r="P132" s="54"/>
      <c r="Q132" s="54"/>
      <c r="R132" s="54"/>
    </row>
    <row r="133" spans="1:18">
      <c r="A133" s="56" t="s">
        <v>296</v>
      </c>
      <c r="B133" s="56" t="s">
        <v>297</v>
      </c>
      <c r="C133" s="56" t="s">
        <v>329</v>
      </c>
      <c r="D133" s="56" t="s">
        <v>510</v>
      </c>
      <c r="E133" s="56" t="s">
        <v>338</v>
      </c>
      <c r="F133" s="56" t="s">
        <v>339</v>
      </c>
      <c r="G133" s="56" t="s">
        <v>48</v>
      </c>
      <c r="H133" s="56">
        <v>359</v>
      </c>
      <c r="I133" s="56">
        <v>6935</v>
      </c>
      <c r="J133" s="71">
        <v>5.6979263385948613</v>
      </c>
      <c r="L133" s="54"/>
      <c r="M133" s="54"/>
      <c r="N133" s="54"/>
      <c r="O133" s="54"/>
      <c r="P133" s="54"/>
      <c r="Q133" s="54"/>
      <c r="R133" s="54"/>
    </row>
    <row r="134" spans="1:18">
      <c r="A134" s="56" t="s">
        <v>340</v>
      </c>
      <c r="B134" s="56" t="s">
        <v>341</v>
      </c>
      <c r="C134" s="56" t="s">
        <v>342</v>
      </c>
      <c r="D134" s="56" t="s">
        <v>511</v>
      </c>
      <c r="E134" s="56" t="s">
        <v>343</v>
      </c>
      <c r="F134" s="56" t="s">
        <v>344</v>
      </c>
      <c r="G134" s="56" t="s">
        <v>48</v>
      </c>
      <c r="H134" s="56">
        <v>265</v>
      </c>
      <c r="I134" s="56">
        <v>7856</v>
      </c>
      <c r="J134" s="71">
        <v>6.7547169811320762</v>
      </c>
      <c r="L134" s="54"/>
      <c r="M134" s="54"/>
      <c r="N134" s="54"/>
      <c r="O134" s="54"/>
      <c r="P134" s="54"/>
      <c r="Q134" s="54"/>
      <c r="R134" s="54"/>
    </row>
    <row r="135" spans="1:18">
      <c r="A135" s="56" t="s">
        <v>340</v>
      </c>
      <c r="B135" s="56" t="s">
        <v>341</v>
      </c>
      <c r="C135" s="56" t="s">
        <v>342</v>
      </c>
      <c r="D135" s="56" t="s">
        <v>511</v>
      </c>
      <c r="E135" s="56" t="s">
        <v>345</v>
      </c>
      <c r="F135" s="56" t="s">
        <v>346</v>
      </c>
      <c r="G135" s="56" t="s">
        <v>48</v>
      </c>
      <c r="H135" s="56">
        <v>27</v>
      </c>
      <c r="I135" s="56">
        <v>9614</v>
      </c>
      <c r="J135" s="71">
        <v>6.4917695473251031</v>
      </c>
      <c r="L135" s="54"/>
      <c r="M135" s="54"/>
      <c r="N135" s="54"/>
      <c r="O135" s="54"/>
      <c r="P135" s="54"/>
      <c r="Q135" s="54"/>
      <c r="R135" s="54"/>
    </row>
    <row r="136" spans="1:18">
      <c r="A136" s="56" t="s">
        <v>340</v>
      </c>
      <c r="B136" s="56" t="s">
        <v>341</v>
      </c>
      <c r="C136" s="56" t="s">
        <v>342</v>
      </c>
      <c r="D136" s="56" t="s">
        <v>511</v>
      </c>
      <c r="E136" s="56" t="s">
        <v>347</v>
      </c>
      <c r="F136" s="56" t="s">
        <v>348</v>
      </c>
      <c r="G136" s="56" t="s">
        <v>55</v>
      </c>
      <c r="H136" s="56">
        <v>1070</v>
      </c>
      <c r="I136" s="56">
        <v>7066</v>
      </c>
      <c r="J136" s="71">
        <v>6.8169781931464177</v>
      </c>
      <c r="L136" s="54"/>
      <c r="M136" s="54"/>
      <c r="N136" s="54"/>
      <c r="O136" s="54"/>
      <c r="P136" s="54"/>
      <c r="Q136" s="54"/>
      <c r="R136" s="54"/>
    </row>
    <row r="137" spans="1:18">
      <c r="A137" s="56" t="s">
        <v>340</v>
      </c>
      <c r="B137" s="56" t="s">
        <v>341</v>
      </c>
      <c r="C137" s="56" t="s">
        <v>342</v>
      </c>
      <c r="D137" s="56" t="s">
        <v>511</v>
      </c>
      <c r="E137" s="56" t="s">
        <v>349</v>
      </c>
      <c r="F137" s="56" t="s">
        <v>350</v>
      </c>
      <c r="G137" s="56" t="s">
        <v>48</v>
      </c>
      <c r="H137" s="56">
        <v>1370</v>
      </c>
      <c r="I137" s="56">
        <v>9294</v>
      </c>
      <c r="J137" s="71">
        <v>6.7704288422525742</v>
      </c>
      <c r="L137" s="54"/>
      <c r="M137" s="54"/>
      <c r="N137" s="54"/>
      <c r="O137" s="54"/>
      <c r="P137" s="54"/>
      <c r="Q137" s="54"/>
      <c r="R137" s="54"/>
    </row>
    <row r="138" spans="1:18">
      <c r="A138" s="56" t="s">
        <v>340</v>
      </c>
      <c r="B138" s="56" t="s">
        <v>341</v>
      </c>
      <c r="C138" s="56" t="s">
        <v>342</v>
      </c>
      <c r="D138" s="56" t="s">
        <v>511</v>
      </c>
      <c r="E138" s="56" t="s">
        <v>351</v>
      </c>
      <c r="F138" s="56" t="s">
        <v>352</v>
      </c>
      <c r="G138" s="56" t="s">
        <v>48</v>
      </c>
      <c r="H138" s="56">
        <v>348</v>
      </c>
      <c r="I138" s="56">
        <v>7106</v>
      </c>
      <c r="J138" s="71">
        <v>6.4838761174968065</v>
      </c>
      <c r="L138" s="54"/>
      <c r="M138" s="54"/>
      <c r="N138" s="54"/>
      <c r="O138" s="54"/>
      <c r="P138" s="54"/>
      <c r="Q138" s="54"/>
      <c r="R138" s="54"/>
    </row>
    <row r="139" spans="1:18">
      <c r="A139" s="56" t="s">
        <v>340</v>
      </c>
      <c r="B139" s="56" t="s">
        <v>341</v>
      </c>
      <c r="C139" s="56" t="s">
        <v>353</v>
      </c>
      <c r="D139" s="56" t="s">
        <v>512</v>
      </c>
      <c r="E139" s="56" t="s">
        <v>354</v>
      </c>
      <c r="F139" s="56" t="s">
        <v>355</v>
      </c>
      <c r="G139" s="56" t="s">
        <v>48</v>
      </c>
      <c r="H139" s="56">
        <v>1200</v>
      </c>
      <c r="I139" s="56">
        <v>6357</v>
      </c>
      <c r="J139" s="71">
        <v>7.2497685185185183</v>
      </c>
      <c r="L139" s="54"/>
      <c r="M139" s="54"/>
      <c r="N139" s="54"/>
      <c r="O139" s="54"/>
      <c r="P139" s="54"/>
      <c r="Q139" s="54"/>
      <c r="R139" s="54"/>
    </row>
    <row r="140" spans="1:18">
      <c r="A140" s="56" t="s">
        <v>340</v>
      </c>
      <c r="B140" s="56" t="s">
        <v>341</v>
      </c>
      <c r="C140" s="56" t="s">
        <v>353</v>
      </c>
      <c r="D140" s="56" t="s">
        <v>512</v>
      </c>
      <c r="E140" s="56" t="s">
        <v>356</v>
      </c>
      <c r="F140" s="56" t="s">
        <v>357</v>
      </c>
      <c r="G140" s="56" t="s">
        <v>55</v>
      </c>
      <c r="H140" s="56">
        <v>1309</v>
      </c>
      <c r="I140" s="56">
        <v>6258</v>
      </c>
      <c r="J140" s="71">
        <v>6.6608739806680317</v>
      </c>
      <c r="L140" s="54"/>
      <c r="M140" s="54"/>
      <c r="N140" s="54"/>
      <c r="O140" s="54"/>
      <c r="P140" s="54"/>
      <c r="Q140" s="54"/>
      <c r="R140" s="54"/>
    </row>
    <row r="141" spans="1:18">
      <c r="A141" s="56" t="s">
        <v>340</v>
      </c>
      <c r="B141" s="56" t="s">
        <v>341</v>
      </c>
      <c r="C141" s="56" t="s">
        <v>353</v>
      </c>
      <c r="D141" s="56" t="s">
        <v>512</v>
      </c>
      <c r="E141" s="56" t="s">
        <v>358</v>
      </c>
      <c r="F141" s="56" t="s">
        <v>359</v>
      </c>
      <c r="G141" s="56" t="s">
        <v>48</v>
      </c>
      <c r="H141" s="56">
        <v>3639</v>
      </c>
      <c r="I141" s="56">
        <v>27674</v>
      </c>
      <c r="J141" s="71">
        <v>6.5333971768973846</v>
      </c>
      <c r="L141" s="54"/>
      <c r="M141" s="54"/>
      <c r="N141" s="54"/>
      <c r="O141" s="54"/>
      <c r="P141" s="54"/>
      <c r="Q141" s="54"/>
      <c r="R141" s="54"/>
    </row>
    <row r="142" spans="1:18">
      <c r="A142" s="56" t="s">
        <v>340</v>
      </c>
      <c r="B142" s="56" t="s">
        <v>341</v>
      </c>
      <c r="C142" s="56" t="s">
        <v>353</v>
      </c>
      <c r="D142" s="56" t="s">
        <v>512</v>
      </c>
      <c r="E142" s="56" t="s">
        <v>360</v>
      </c>
      <c r="F142" s="56" t="s">
        <v>361</v>
      </c>
      <c r="G142" s="56" t="s">
        <v>178</v>
      </c>
      <c r="H142" s="56">
        <v>850</v>
      </c>
      <c r="I142" s="56">
        <v>6686</v>
      </c>
      <c r="J142" s="71">
        <v>6.1802687125751179</v>
      </c>
      <c r="L142" s="54"/>
      <c r="M142" s="54"/>
      <c r="N142" s="54"/>
      <c r="O142" s="54"/>
      <c r="P142" s="54"/>
      <c r="Q142" s="54"/>
      <c r="R142" s="54"/>
    </row>
    <row r="143" spans="1:18">
      <c r="A143" s="56" t="s">
        <v>340</v>
      </c>
      <c r="B143" s="56" t="s">
        <v>341</v>
      </c>
      <c r="C143" s="56" t="s">
        <v>353</v>
      </c>
      <c r="D143" s="56" t="s">
        <v>512</v>
      </c>
      <c r="E143" s="56" t="s">
        <v>362</v>
      </c>
      <c r="F143" s="56" t="s">
        <v>363</v>
      </c>
      <c r="G143" s="56" t="s">
        <v>48</v>
      </c>
      <c r="H143" s="56">
        <v>2227</v>
      </c>
      <c r="I143" s="56">
        <v>19067</v>
      </c>
      <c r="J143" s="71">
        <v>6.1515242229207203</v>
      </c>
      <c r="L143" s="54"/>
      <c r="M143" s="54"/>
      <c r="N143" s="54"/>
      <c r="O143" s="54"/>
      <c r="P143" s="54"/>
      <c r="Q143" s="54"/>
      <c r="R143" s="54"/>
    </row>
    <row r="144" spans="1:18">
      <c r="A144" s="56" t="s">
        <v>340</v>
      </c>
      <c r="B144" s="56" t="s">
        <v>341</v>
      </c>
      <c r="C144" s="56" t="s">
        <v>353</v>
      </c>
      <c r="D144" s="56" t="s">
        <v>512</v>
      </c>
      <c r="E144" s="56" t="s">
        <v>364</v>
      </c>
      <c r="F144" s="56" t="s">
        <v>365</v>
      </c>
      <c r="G144" s="56" t="s">
        <v>55</v>
      </c>
      <c r="H144" s="56">
        <v>204</v>
      </c>
      <c r="I144" s="56">
        <v>3614</v>
      </c>
      <c r="J144" s="71">
        <v>6.3248910675381262</v>
      </c>
      <c r="L144" s="54"/>
      <c r="M144" s="54"/>
      <c r="N144" s="54"/>
      <c r="O144" s="54"/>
      <c r="P144" s="54"/>
      <c r="Q144" s="54"/>
      <c r="R144" s="54"/>
    </row>
    <row r="145" spans="1:18">
      <c r="A145" s="56" t="s">
        <v>340</v>
      </c>
      <c r="B145" s="56" t="s">
        <v>341</v>
      </c>
      <c r="C145" s="56" t="s">
        <v>353</v>
      </c>
      <c r="D145" s="56" t="s">
        <v>512</v>
      </c>
      <c r="E145" s="56" t="s">
        <v>366</v>
      </c>
      <c r="F145" s="56" t="s">
        <v>367</v>
      </c>
      <c r="G145" s="56" t="s">
        <v>48</v>
      </c>
      <c r="H145" s="56">
        <v>66</v>
      </c>
      <c r="I145" s="56">
        <v>4061</v>
      </c>
      <c r="J145" s="71">
        <v>6.0101010101010104</v>
      </c>
      <c r="L145" s="54"/>
      <c r="M145" s="54"/>
      <c r="N145" s="54"/>
      <c r="O145" s="54"/>
      <c r="P145" s="54"/>
      <c r="Q145" s="54"/>
      <c r="R145" s="54"/>
    </row>
    <row r="146" spans="1:18">
      <c r="A146" s="56" t="s">
        <v>340</v>
      </c>
      <c r="B146" s="56" t="s">
        <v>341</v>
      </c>
      <c r="C146" s="56" t="s">
        <v>353</v>
      </c>
      <c r="D146" s="56" t="s">
        <v>512</v>
      </c>
      <c r="E146" s="56" t="s">
        <v>368</v>
      </c>
      <c r="F146" s="56" t="s">
        <v>369</v>
      </c>
      <c r="G146" s="56" t="s">
        <v>72</v>
      </c>
      <c r="H146" s="56">
        <v>122</v>
      </c>
      <c r="I146" s="56">
        <v>3271</v>
      </c>
      <c r="J146" s="71">
        <v>6.4981785063752282</v>
      </c>
      <c r="L146" s="54"/>
      <c r="M146" s="54"/>
      <c r="N146" s="54"/>
      <c r="O146" s="54"/>
      <c r="P146" s="54"/>
      <c r="Q146" s="54"/>
      <c r="R146" s="54"/>
    </row>
    <row r="147" spans="1:18">
      <c r="A147" s="56" t="s">
        <v>340</v>
      </c>
      <c r="B147" s="56" t="s">
        <v>341</v>
      </c>
      <c r="C147" s="56" t="s">
        <v>353</v>
      </c>
      <c r="D147" s="56" t="s">
        <v>512</v>
      </c>
      <c r="E147" s="56" t="s">
        <v>370</v>
      </c>
      <c r="F147" s="56" t="s">
        <v>371</v>
      </c>
      <c r="G147" s="56" t="s">
        <v>48</v>
      </c>
      <c r="H147" s="56">
        <v>91</v>
      </c>
      <c r="I147" s="56">
        <v>6789</v>
      </c>
      <c r="J147" s="71">
        <v>6.7979242979242978</v>
      </c>
      <c r="L147" s="54"/>
      <c r="M147" s="54"/>
      <c r="N147" s="54"/>
      <c r="O147" s="54"/>
      <c r="P147" s="54"/>
      <c r="Q147" s="54"/>
      <c r="R147" s="54"/>
    </row>
    <row r="148" spans="1:18">
      <c r="A148" s="56" t="s">
        <v>340</v>
      </c>
      <c r="B148" s="56" t="s">
        <v>341</v>
      </c>
      <c r="C148" s="56" t="s">
        <v>372</v>
      </c>
      <c r="D148" s="56" t="s">
        <v>513</v>
      </c>
      <c r="E148" s="56" t="s">
        <v>373</v>
      </c>
      <c r="F148" s="56" t="s">
        <v>374</v>
      </c>
      <c r="G148" s="56" t="s">
        <v>48</v>
      </c>
      <c r="H148" s="56">
        <v>340</v>
      </c>
      <c r="I148" s="56">
        <v>4147</v>
      </c>
      <c r="J148" s="71">
        <v>6.9150326797385624</v>
      </c>
      <c r="L148" s="54"/>
      <c r="M148" s="54"/>
      <c r="N148" s="54"/>
      <c r="O148" s="54"/>
      <c r="P148" s="54"/>
      <c r="Q148" s="54"/>
      <c r="R148" s="54"/>
    </row>
    <row r="149" spans="1:18">
      <c r="A149" s="56" t="s">
        <v>340</v>
      </c>
      <c r="B149" s="56" t="s">
        <v>341</v>
      </c>
      <c r="C149" s="56" t="s">
        <v>372</v>
      </c>
      <c r="D149" s="56" t="s">
        <v>513</v>
      </c>
      <c r="E149" s="56" t="s">
        <v>375</v>
      </c>
      <c r="F149" s="56" t="s">
        <v>376</v>
      </c>
      <c r="G149" s="56" t="s">
        <v>88</v>
      </c>
      <c r="H149" s="56">
        <v>228</v>
      </c>
      <c r="I149" s="56">
        <v>1484</v>
      </c>
      <c r="J149" s="71">
        <v>6.628898635477583</v>
      </c>
      <c r="L149" s="54"/>
      <c r="M149" s="54"/>
      <c r="N149" s="54"/>
      <c r="O149" s="54"/>
      <c r="P149" s="54"/>
      <c r="Q149" s="54"/>
      <c r="R149" s="54"/>
    </row>
    <row r="150" spans="1:18">
      <c r="A150" s="56" t="s">
        <v>340</v>
      </c>
      <c r="B150" s="56" t="s">
        <v>341</v>
      </c>
      <c r="C150" s="56" t="s">
        <v>372</v>
      </c>
      <c r="D150" s="56" t="s">
        <v>513</v>
      </c>
      <c r="E150" s="56" t="s">
        <v>377</v>
      </c>
      <c r="F150" s="56" t="s">
        <v>378</v>
      </c>
      <c r="G150" s="56" t="s">
        <v>55</v>
      </c>
      <c r="H150" s="56">
        <v>680</v>
      </c>
      <c r="I150" s="56">
        <v>4047</v>
      </c>
      <c r="J150" s="71">
        <v>7.1260372215550767</v>
      </c>
      <c r="L150" s="54"/>
      <c r="M150" s="54"/>
      <c r="N150" s="54"/>
      <c r="O150" s="54"/>
      <c r="P150" s="54"/>
      <c r="Q150" s="54"/>
      <c r="R150" s="54"/>
    </row>
    <row r="151" spans="1:18">
      <c r="A151" s="56" t="s">
        <v>340</v>
      </c>
      <c r="B151" s="56" t="s">
        <v>341</v>
      </c>
      <c r="C151" s="56" t="s">
        <v>372</v>
      </c>
      <c r="D151" s="56" t="s">
        <v>513</v>
      </c>
      <c r="E151" s="56" t="s">
        <v>379</v>
      </c>
      <c r="F151" s="56" t="s">
        <v>380</v>
      </c>
      <c r="G151" s="56" t="s">
        <v>48</v>
      </c>
      <c r="H151" s="56">
        <v>329</v>
      </c>
      <c r="I151" s="56">
        <v>4488</v>
      </c>
      <c r="J151" s="71">
        <v>5.6019925700776767</v>
      </c>
      <c r="L151" s="54"/>
      <c r="M151" s="54"/>
      <c r="N151" s="54"/>
      <c r="O151" s="54"/>
      <c r="P151" s="54"/>
      <c r="Q151" s="54"/>
      <c r="R151" s="54"/>
    </row>
    <row r="152" spans="1:18">
      <c r="A152" s="56" t="s">
        <v>340</v>
      </c>
      <c r="B152" s="56" t="s">
        <v>341</v>
      </c>
      <c r="C152" s="56" t="s">
        <v>372</v>
      </c>
      <c r="D152" s="56" t="s">
        <v>513</v>
      </c>
      <c r="E152" s="56" t="s">
        <v>381</v>
      </c>
      <c r="F152" s="56" t="s">
        <v>382</v>
      </c>
      <c r="G152" s="56" t="s">
        <v>48</v>
      </c>
      <c r="H152" s="56">
        <v>49</v>
      </c>
      <c r="I152" s="56">
        <v>2549</v>
      </c>
      <c r="J152" s="71">
        <v>6.2585034013605449</v>
      </c>
      <c r="L152" s="54"/>
      <c r="M152" s="54"/>
      <c r="N152" s="54"/>
      <c r="O152" s="54"/>
      <c r="P152" s="54"/>
      <c r="Q152" s="54"/>
      <c r="R152" s="54"/>
    </row>
    <row r="153" spans="1:18">
      <c r="A153" s="56" t="s">
        <v>340</v>
      </c>
      <c r="B153" s="56" t="s">
        <v>341</v>
      </c>
      <c r="C153" s="56" t="s">
        <v>372</v>
      </c>
      <c r="D153" s="56" t="s">
        <v>513</v>
      </c>
      <c r="E153" s="56" t="s">
        <v>383</v>
      </c>
      <c r="F153" s="56" t="s">
        <v>384</v>
      </c>
      <c r="G153" s="56" t="s">
        <v>72</v>
      </c>
      <c r="H153" s="56">
        <v>48</v>
      </c>
      <c r="I153" s="56">
        <v>1888</v>
      </c>
      <c r="J153" s="71">
        <v>7.3495370370370372</v>
      </c>
      <c r="L153" s="54"/>
      <c r="M153" s="54"/>
      <c r="N153" s="54"/>
      <c r="O153" s="54"/>
      <c r="P153" s="54"/>
      <c r="Q153" s="54"/>
      <c r="R153" s="54"/>
    </row>
    <row r="154" spans="1:18">
      <c r="A154" s="56" t="s">
        <v>340</v>
      </c>
      <c r="B154" s="56" t="s">
        <v>341</v>
      </c>
      <c r="C154" s="56" t="s">
        <v>372</v>
      </c>
      <c r="D154" s="56" t="s">
        <v>513</v>
      </c>
      <c r="E154" s="56" t="s">
        <v>385</v>
      </c>
      <c r="F154" s="56" t="s">
        <v>386</v>
      </c>
      <c r="G154" s="56" t="s">
        <v>48</v>
      </c>
      <c r="H154" s="56">
        <v>1684</v>
      </c>
      <c r="I154" s="56">
        <v>13593</v>
      </c>
      <c r="J154" s="71">
        <v>6.3033087039462332</v>
      </c>
      <c r="L154" s="54"/>
      <c r="M154" s="54"/>
      <c r="N154" s="54"/>
      <c r="O154" s="54"/>
      <c r="P154" s="54"/>
      <c r="Q154" s="54"/>
      <c r="R154" s="54"/>
    </row>
    <row r="155" spans="1:18">
      <c r="A155" s="56" t="s">
        <v>340</v>
      </c>
      <c r="B155" s="56" t="s">
        <v>341</v>
      </c>
      <c r="C155" s="56" t="s">
        <v>372</v>
      </c>
      <c r="D155" s="56" t="s">
        <v>513</v>
      </c>
      <c r="E155" s="56" t="s">
        <v>387</v>
      </c>
      <c r="F155" s="56" t="s">
        <v>388</v>
      </c>
      <c r="G155" s="56" t="s">
        <v>72</v>
      </c>
      <c r="H155" s="56">
        <v>201</v>
      </c>
      <c r="I155" s="56">
        <v>1598</v>
      </c>
      <c r="J155" s="71">
        <v>5.9148050007610911</v>
      </c>
      <c r="L155" s="54"/>
      <c r="M155" s="54"/>
      <c r="N155" s="54"/>
      <c r="O155" s="54"/>
      <c r="P155" s="54"/>
      <c r="Q155" s="54"/>
      <c r="R155" s="54"/>
    </row>
    <row r="156" spans="1:18">
      <c r="A156" s="56" t="s">
        <v>340</v>
      </c>
      <c r="B156" s="56" t="s">
        <v>341</v>
      </c>
      <c r="C156" s="56" t="s">
        <v>372</v>
      </c>
      <c r="D156" s="56" t="s">
        <v>513</v>
      </c>
      <c r="E156" s="56" t="s">
        <v>389</v>
      </c>
      <c r="F156" s="56" t="s">
        <v>390</v>
      </c>
      <c r="G156" s="56" t="s">
        <v>55</v>
      </c>
      <c r="H156" s="56">
        <v>2715</v>
      </c>
      <c r="I156" s="56">
        <v>10479</v>
      </c>
      <c r="J156" s="71">
        <v>7.0201437894184684</v>
      </c>
      <c r="L156" s="54"/>
      <c r="M156" s="54"/>
      <c r="N156" s="54"/>
      <c r="O156" s="54"/>
      <c r="P156" s="54"/>
      <c r="Q156" s="54"/>
      <c r="R156" s="54"/>
    </row>
    <row r="157" spans="1:18">
      <c r="A157" s="56" t="s">
        <v>340</v>
      </c>
      <c r="B157" s="56" t="s">
        <v>341</v>
      </c>
      <c r="C157" s="56" t="s">
        <v>372</v>
      </c>
      <c r="D157" s="56" t="s">
        <v>513</v>
      </c>
      <c r="E157" s="56" t="s">
        <v>391</v>
      </c>
      <c r="F157" s="56" t="s">
        <v>392</v>
      </c>
      <c r="G157" s="56" t="s">
        <v>48</v>
      </c>
      <c r="H157" s="56">
        <v>337</v>
      </c>
      <c r="I157" s="56">
        <v>5119</v>
      </c>
      <c r="J157" s="71">
        <v>6.7969007583250907</v>
      </c>
      <c r="L157" s="54"/>
      <c r="M157" s="54"/>
      <c r="N157" s="54"/>
      <c r="O157" s="54"/>
      <c r="P157" s="54"/>
      <c r="Q157" s="54"/>
      <c r="R157" s="54"/>
    </row>
    <row r="158" spans="1:18">
      <c r="A158" s="56" t="s">
        <v>340</v>
      </c>
      <c r="B158" s="56" t="s">
        <v>341</v>
      </c>
      <c r="C158" s="56" t="s">
        <v>372</v>
      </c>
      <c r="D158" s="56" t="s">
        <v>513</v>
      </c>
      <c r="E158" s="56" t="s">
        <v>393</v>
      </c>
      <c r="F158" s="56" t="s">
        <v>394</v>
      </c>
      <c r="G158" s="56" t="s">
        <v>48</v>
      </c>
      <c r="H158" s="56">
        <v>247</v>
      </c>
      <c r="I158" s="56">
        <v>3339</v>
      </c>
      <c r="J158" s="71">
        <v>6.2714439946018894</v>
      </c>
      <c r="L158" s="54"/>
      <c r="M158" s="54"/>
      <c r="N158" s="54"/>
      <c r="O158" s="54"/>
      <c r="P158" s="54"/>
      <c r="Q158" s="54"/>
      <c r="R158" s="54"/>
    </row>
    <row r="159" spans="1:18">
      <c r="A159" s="56" t="s">
        <v>340</v>
      </c>
      <c r="B159" s="56" t="s">
        <v>341</v>
      </c>
      <c r="C159" s="56" t="s">
        <v>372</v>
      </c>
      <c r="D159" s="56" t="s">
        <v>513</v>
      </c>
      <c r="E159" s="56" t="s">
        <v>395</v>
      </c>
      <c r="F159" s="56" t="s">
        <v>396</v>
      </c>
      <c r="G159" s="56" t="s">
        <v>48</v>
      </c>
      <c r="H159" s="56">
        <v>241</v>
      </c>
      <c r="I159" s="56">
        <v>6818</v>
      </c>
      <c r="J159" s="71">
        <v>6.4430613185799901</v>
      </c>
      <c r="L159" s="54"/>
      <c r="M159" s="54"/>
      <c r="N159" s="54"/>
      <c r="O159" s="54"/>
      <c r="P159" s="54"/>
      <c r="Q159" s="54"/>
      <c r="R159" s="54"/>
    </row>
    <row r="160" spans="1:18">
      <c r="A160" s="56" t="s">
        <v>340</v>
      </c>
      <c r="B160" s="56" t="s">
        <v>341</v>
      </c>
      <c r="C160" s="56" t="s">
        <v>372</v>
      </c>
      <c r="D160" s="56" t="s">
        <v>513</v>
      </c>
      <c r="E160" s="56" t="s">
        <v>397</v>
      </c>
      <c r="F160" s="56" t="s">
        <v>398</v>
      </c>
      <c r="G160" s="56" t="s">
        <v>72</v>
      </c>
      <c r="H160" s="56">
        <v>393</v>
      </c>
      <c r="I160" s="56">
        <v>1629</v>
      </c>
      <c r="J160" s="71">
        <v>7.1614362454057101</v>
      </c>
      <c r="L160" s="54"/>
      <c r="M160" s="54"/>
      <c r="N160" s="54"/>
      <c r="O160" s="54"/>
      <c r="P160" s="54"/>
      <c r="Q160" s="54"/>
      <c r="R160" s="54"/>
    </row>
    <row r="161" spans="1:18">
      <c r="A161" s="56" t="s">
        <v>340</v>
      </c>
      <c r="B161" s="56" t="s">
        <v>341</v>
      </c>
      <c r="C161" s="56" t="s">
        <v>372</v>
      </c>
      <c r="D161" s="56" t="s">
        <v>513</v>
      </c>
      <c r="E161" s="56" t="s">
        <v>399</v>
      </c>
      <c r="F161" s="56" t="s">
        <v>400</v>
      </c>
      <c r="G161" s="56" t="s">
        <v>72</v>
      </c>
      <c r="H161" s="56">
        <v>84</v>
      </c>
      <c r="I161" s="56">
        <v>1515</v>
      </c>
      <c r="J161" s="71">
        <v>7.106481481481481</v>
      </c>
      <c r="L161" s="54"/>
      <c r="M161" s="54"/>
      <c r="N161" s="54"/>
      <c r="O161" s="54"/>
      <c r="P161" s="54"/>
      <c r="Q161" s="54"/>
      <c r="R161" s="54"/>
    </row>
    <row r="162" spans="1:18">
      <c r="A162" s="56" t="s">
        <v>340</v>
      </c>
      <c r="B162" s="56" t="s">
        <v>341</v>
      </c>
      <c r="C162" s="56" t="s">
        <v>372</v>
      </c>
      <c r="D162" s="56" t="s">
        <v>513</v>
      </c>
      <c r="E162" s="56" t="s">
        <v>401</v>
      </c>
      <c r="F162" s="56" t="s">
        <v>402</v>
      </c>
      <c r="G162" s="56" t="s">
        <v>48</v>
      </c>
      <c r="H162" s="56">
        <v>65</v>
      </c>
      <c r="I162" s="56">
        <v>4380</v>
      </c>
      <c r="J162" s="71">
        <v>6.4401709401709404</v>
      </c>
      <c r="L162" s="54"/>
      <c r="M162" s="54"/>
      <c r="N162" s="54"/>
      <c r="O162" s="54"/>
      <c r="P162" s="54"/>
      <c r="Q162" s="54"/>
      <c r="R162" s="54"/>
    </row>
    <row r="163" spans="1:18">
      <c r="A163" s="56" t="s">
        <v>340</v>
      </c>
      <c r="B163" s="56" t="s">
        <v>341</v>
      </c>
      <c r="C163" s="56" t="s">
        <v>372</v>
      </c>
      <c r="D163" s="56" t="s">
        <v>513</v>
      </c>
      <c r="E163" s="56" t="s">
        <v>403</v>
      </c>
      <c r="F163" s="56" t="s">
        <v>404</v>
      </c>
      <c r="G163" s="56" t="s">
        <v>88</v>
      </c>
      <c r="H163" s="56">
        <v>199</v>
      </c>
      <c r="I163" s="56">
        <v>1904</v>
      </c>
      <c r="J163" s="71">
        <v>6.4740368509212729</v>
      </c>
      <c r="L163" s="54"/>
      <c r="M163" s="54"/>
      <c r="N163" s="54"/>
      <c r="O163" s="54"/>
      <c r="P163" s="54"/>
      <c r="Q163" s="54"/>
      <c r="R163" s="54"/>
    </row>
    <row r="164" spans="1:18">
      <c r="A164" s="56" t="s">
        <v>340</v>
      </c>
      <c r="B164" s="56" t="s">
        <v>341</v>
      </c>
      <c r="C164" s="56" t="s">
        <v>372</v>
      </c>
      <c r="D164" s="56" t="s">
        <v>513</v>
      </c>
      <c r="E164" s="56" t="s">
        <v>405</v>
      </c>
      <c r="F164" s="56" t="s">
        <v>406</v>
      </c>
      <c r="G164" s="56" t="s">
        <v>48</v>
      </c>
      <c r="H164" s="56">
        <v>28</v>
      </c>
      <c r="I164" s="56">
        <v>6619</v>
      </c>
      <c r="J164" s="71">
        <v>5.1984126984126986</v>
      </c>
      <c r="L164" s="54"/>
      <c r="M164" s="54"/>
      <c r="N164" s="54"/>
      <c r="O164" s="54"/>
      <c r="P164" s="54"/>
      <c r="Q164" s="54"/>
      <c r="R164" s="54"/>
    </row>
    <row r="165" spans="1:18">
      <c r="A165" s="56" t="s">
        <v>407</v>
      </c>
      <c r="B165" s="56" t="s">
        <v>408</v>
      </c>
      <c r="C165" s="56" t="s">
        <v>409</v>
      </c>
      <c r="D165" s="56" t="s">
        <v>514</v>
      </c>
      <c r="E165" s="56" t="s">
        <v>410</v>
      </c>
      <c r="F165" s="56" t="s">
        <v>411</v>
      </c>
      <c r="G165" s="56" t="s">
        <v>48</v>
      </c>
      <c r="H165" s="56">
        <v>341</v>
      </c>
      <c r="I165" s="56">
        <v>4083</v>
      </c>
      <c r="J165" s="71">
        <v>6.5795047246660152</v>
      </c>
      <c r="L165" s="54"/>
      <c r="M165" s="54"/>
      <c r="N165" s="54"/>
      <c r="O165" s="54"/>
      <c r="P165" s="54"/>
      <c r="Q165" s="54"/>
      <c r="R165" s="54"/>
    </row>
    <row r="166" spans="1:18">
      <c r="A166" s="56" t="s">
        <v>407</v>
      </c>
      <c r="B166" s="56" t="s">
        <v>408</v>
      </c>
      <c r="C166" s="56" t="s">
        <v>409</v>
      </c>
      <c r="D166" s="56" t="s">
        <v>514</v>
      </c>
      <c r="E166" s="56" t="s">
        <v>412</v>
      </c>
      <c r="F166" s="56" t="s">
        <v>413</v>
      </c>
      <c r="G166" s="56" t="s">
        <v>48</v>
      </c>
      <c r="H166" s="56">
        <v>495</v>
      </c>
      <c r="I166" s="56">
        <v>6583</v>
      </c>
      <c r="J166" s="71">
        <v>6.0308641975308648</v>
      </c>
      <c r="L166" s="54"/>
      <c r="M166" s="54"/>
      <c r="N166" s="54"/>
      <c r="O166" s="54"/>
      <c r="P166" s="54"/>
      <c r="Q166" s="54"/>
      <c r="R166" s="54"/>
    </row>
    <row r="167" spans="1:18">
      <c r="A167" s="56" t="s">
        <v>407</v>
      </c>
      <c r="B167" s="56" t="s">
        <v>408</v>
      </c>
      <c r="C167" s="56" t="s">
        <v>409</v>
      </c>
      <c r="D167" s="56" t="s">
        <v>514</v>
      </c>
      <c r="E167" s="56" t="s">
        <v>414</v>
      </c>
      <c r="F167" s="56" t="s">
        <v>415</v>
      </c>
      <c r="G167" s="56" t="s">
        <v>55</v>
      </c>
      <c r="H167" s="56">
        <v>127</v>
      </c>
      <c r="I167" s="56">
        <v>3572</v>
      </c>
      <c r="J167" s="71">
        <v>6.8963254593175849</v>
      </c>
      <c r="L167" s="54"/>
      <c r="M167" s="54"/>
      <c r="N167" s="54"/>
      <c r="O167" s="54"/>
      <c r="P167" s="54"/>
      <c r="Q167" s="54"/>
      <c r="R167" s="54"/>
    </row>
    <row r="168" spans="1:18">
      <c r="A168" s="56" t="s">
        <v>407</v>
      </c>
      <c r="B168" s="56" t="s">
        <v>408</v>
      </c>
      <c r="C168" s="56" t="s">
        <v>409</v>
      </c>
      <c r="D168" s="56" t="s">
        <v>514</v>
      </c>
      <c r="E168" s="56" t="s">
        <v>416</v>
      </c>
      <c r="F168" s="56" t="s">
        <v>417</v>
      </c>
      <c r="G168" s="56" t="s">
        <v>48</v>
      </c>
      <c r="H168" s="56">
        <v>119</v>
      </c>
      <c r="I168" s="56">
        <v>3724</v>
      </c>
      <c r="J168" s="71">
        <v>6.9444444444444455</v>
      </c>
      <c r="L168" s="54"/>
      <c r="M168" s="54"/>
      <c r="N168" s="54"/>
      <c r="O168" s="54"/>
      <c r="P168" s="54"/>
      <c r="Q168" s="54"/>
      <c r="R168" s="54"/>
    </row>
    <row r="169" spans="1:18">
      <c r="A169" s="56" t="s">
        <v>407</v>
      </c>
      <c r="B169" s="56" t="s">
        <v>408</v>
      </c>
      <c r="C169" s="56" t="s">
        <v>409</v>
      </c>
      <c r="D169" s="56" t="s">
        <v>514</v>
      </c>
      <c r="E169" s="56" t="s">
        <v>418</v>
      </c>
      <c r="F169" s="56" t="s">
        <v>419</v>
      </c>
      <c r="G169" s="56" t="s">
        <v>55</v>
      </c>
      <c r="H169" s="56">
        <v>190</v>
      </c>
      <c r="I169" s="56">
        <v>2529</v>
      </c>
      <c r="J169" s="71">
        <v>6.2383040935672511</v>
      </c>
      <c r="L169" s="54"/>
      <c r="M169" s="54"/>
      <c r="N169" s="54"/>
      <c r="O169" s="54"/>
      <c r="P169" s="54"/>
      <c r="Q169" s="54"/>
      <c r="R169" s="54"/>
    </row>
    <row r="170" spans="1:18">
      <c r="A170" s="56" t="s">
        <v>407</v>
      </c>
      <c r="B170" s="56" t="s">
        <v>408</v>
      </c>
      <c r="C170" s="56" t="s">
        <v>409</v>
      </c>
      <c r="D170" s="56" t="s">
        <v>514</v>
      </c>
      <c r="E170" s="56" t="s">
        <v>420</v>
      </c>
      <c r="F170" s="56" t="s">
        <v>421</v>
      </c>
      <c r="G170" s="56" t="s">
        <v>48</v>
      </c>
      <c r="H170" s="56">
        <v>809</v>
      </c>
      <c r="I170" s="56">
        <v>17279</v>
      </c>
      <c r="J170" s="71">
        <v>6.2944650460101634</v>
      </c>
      <c r="L170" s="54"/>
      <c r="M170" s="54"/>
      <c r="N170" s="54"/>
      <c r="O170" s="54"/>
      <c r="P170" s="54"/>
      <c r="Q170" s="54"/>
      <c r="R170" s="54"/>
    </row>
    <row r="171" spans="1:18">
      <c r="A171" s="56" t="s">
        <v>407</v>
      </c>
      <c r="B171" s="56" t="s">
        <v>408</v>
      </c>
      <c r="C171" s="56" t="s">
        <v>409</v>
      </c>
      <c r="D171" s="56" t="s">
        <v>514</v>
      </c>
      <c r="E171" s="56" t="s">
        <v>422</v>
      </c>
      <c r="F171" s="56" t="s">
        <v>423</v>
      </c>
      <c r="G171" s="56" t="s">
        <v>48</v>
      </c>
      <c r="H171" s="56">
        <v>613</v>
      </c>
      <c r="I171" s="56">
        <v>4700</v>
      </c>
      <c r="J171" s="71">
        <v>6.2266630415080657</v>
      </c>
      <c r="L171" s="54"/>
      <c r="M171" s="54"/>
      <c r="N171" s="54"/>
      <c r="O171" s="54"/>
      <c r="P171" s="54"/>
      <c r="Q171" s="54"/>
      <c r="R171" s="54"/>
    </row>
    <row r="172" spans="1:18">
      <c r="A172" s="56" t="s">
        <v>407</v>
      </c>
      <c r="B172" s="56" t="s">
        <v>408</v>
      </c>
      <c r="C172" s="56" t="s">
        <v>424</v>
      </c>
      <c r="D172" s="56" t="s">
        <v>515</v>
      </c>
      <c r="E172" s="56" t="s">
        <v>425</v>
      </c>
      <c r="F172" s="56" t="s">
        <v>426</v>
      </c>
      <c r="G172" s="56" t="s">
        <v>48</v>
      </c>
      <c r="H172" s="56">
        <v>1080</v>
      </c>
      <c r="I172" s="56">
        <v>7667</v>
      </c>
      <c r="J172" s="71">
        <v>6.2386831275720169</v>
      </c>
      <c r="L172" s="54"/>
      <c r="M172" s="54"/>
      <c r="N172" s="54"/>
      <c r="O172" s="54"/>
      <c r="P172" s="54"/>
      <c r="Q172" s="54"/>
      <c r="R172" s="54"/>
    </row>
    <row r="173" spans="1:18">
      <c r="A173" s="56" t="s">
        <v>407</v>
      </c>
      <c r="B173" s="56" t="s">
        <v>408</v>
      </c>
      <c r="C173" s="56" t="s">
        <v>424</v>
      </c>
      <c r="D173" s="56" t="s">
        <v>515</v>
      </c>
      <c r="E173" s="56" t="s">
        <v>427</v>
      </c>
      <c r="F173" s="56" t="s">
        <v>428</v>
      </c>
      <c r="G173" s="56" t="s">
        <v>55</v>
      </c>
      <c r="H173" s="56">
        <v>341</v>
      </c>
      <c r="I173" s="56">
        <v>7475</v>
      </c>
      <c r="J173" s="71">
        <v>6.7106549364613883</v>
      </c>
      <c r="L173" s="54"/>
      <c r="M173" s="54"/>
      <c r="N173" s="54"/>
      <c r="O173" s="54"/>
      <c r="P173" s="54"/>
      <c r="Q173" s="54"/>
      <c r="R173" s="54"/>
    </row>
    <row r="174" spans="1:18">
      <c r="A174" s="56" t="s">
        <v>407</v>
      </c>
      <c r="B174" s="56" t="s">
        <v>408</v>
      </c>
      <c r="C174" s="56" t="s">
        <v>424</v>
      </c>
      <c r="D174" s="56" t="s">
        <v>515</v>
      </c>
      <c r="E174" s="56" t="s">
        <v>429</v>
      </c>
      <c r="F174" s="56" t="s">
        <v>430</v>
      </c>
      <c r="G174" s="56" t="s">
        <v>48</v>
      </c>
      <c r="H174" s="56">
        <v>85</v>
      </c>
      <c r="I174" s="56">
        <v>4937</v>
      </c>
      <c r="J174" s="71">
        <v>6.3529411764705879</v>
      </c>
      <c r="L174" s="54"/>
      <c r="M174" s="54"/>
      <c r="N174" s="54"/>
      <c r="O174" s="54"/>
      <c r="P174" s="54"/>
      <c r="Q174" s="54"/>
      <c r="R174" s="54"/>
    </row>
    <row r="175" spans="1:18">
      <c r="A175" s="56" t="s">
        <v>407</v>
      </c>
      <c r="B175" s="56" t="s">
        <v>408</v>
      </c>
      <c r="C175" s="56" t="s">
        <v>424</v>
      </c>
      <c r="D175" s="56" t="s">
        <v>515</v>
      </c>
      <c r="E175" s="56" t="s">
        <v>431</v>
      </c>
      <c r="F175" s="56" t="s">
        <v>432</v>
      </c>
      <c r="G175" s="56" t="s">
        <v>48</v>
      </c>
      <c r="H175" s="56">
        <v>16</v>
      </c>
      <c r="I175" s="56">
        <v>6701</v>
      </c>
      <c r="J175" s="71">
        <v>5.6597222222222214</v>
      </c>
      <c r="L175" s="54"/>
      <c r="M175" s="54"/>
      <c r="N175" s="54"/>
      <c r="O175" s="54"/>
      <c r="P175" s="54"/>
      <c r="Q175" s="54"/>
      <c r="R175" s="54"/>
    </row>
    <row r="176" spans="1:18">
      <c r="A176" s="56" t="s">
        <v>407</v>
      </c>
      <c r="B176" s="56" t="s">
        <v>408</v>
      </c>
      <c r="C176" s="56" t="s">
        <v>424</v>
      </c>
      <c r="D176" s="56" t="s">
        <v>515</v>
      </c>
      <c r="E176" s="56" t="s">
        <v>433</v>
      </c>
      <c r="F176" s="56" t="s">
        <v>434</v>
      </c>
      <c r="G176" s="56" t="s">
        <v>178</v>
      </c>
      <c r="H176" s="56">
        <v>225</v>
      </c>
      <c r="I176" s="56">
        <v>2941</v>
      </c>
      <c r="J176" s="71">
        <v>5.3419753086419748</v>
      </c>
      <c r="L176" s="54"/>
      <c r="M176" s="54"/>
      <c r="N176" s="54"/>
      <c r="O176" s="54"/>
      <c r="P176" s="54"/>
      <c r="Q176" s="54"/>
      <c r="R176" s="54"/>
    </row>
    <row r="177" spans="1:18">
      <c r="A177" s="56" t="s">
        <v>407</v>
      </c>
      <c r="B177" s="56" t="s">
        <v>408</v>
      </c>
      <c r="C177" s="56" t="s">
        <v>424</v>
      </c>
      <c r="D177" s="56" t="s">
        <v>515</v>
      </c>
      <c r="E177" s="56" t="s">
        <v>435</v>
      </c>
      <c r="F177" s="56" t="s">
        <v>436</v>
      </c>
      <c r="G177" s="56" t="s">
        <v>48</v>
      </c>
      <c r="H177" s="56">
        <v>193</v>
      </c>
      <c r="I177" s="56">
        <v>5503</v>
      </c>
      <c r="J177" s="71">
        <v>6.3126079447322967</v>
      </c>
      <c r="L177" s="54"/>
      <c r="M177" s="54"/>
      <c r="N177" s="54"/>
      <c r="O177" s="54"/>
      <c r="P177" s="54"/>
      <c r="Q177" s="54"/>
      <c r="R177" s="54"/>
    </row>
    <row r="178" spans="1:18">
      <c r="A178" s="56" t="s">
        <v>407</v>
      </c>
      <c r="B178" s="56" t="s">
        <v>408</v>
      </c>
      <c r="C178" s="56" t="s">
        <v>424</v>
      </c>
      <c r="D178" s="56" t="s">
        <v>515</v>
      </c>
      <c r="E178" s="56" t="s">
        <v>437</v>
      </c>
      <c r="F178" s="56" t="s">
        <v>438</v>
      </c>
      <c r="G178" s="56" t="s">
        <v>48</v>
      </c>
      <c r="H178" s="56">
        <v>3844</v>
      </c>
      <c r="I178" s="56">
        <v>8414</v>
      </c>
      <c r="J178" s="71">
        <v>7.0597756966123262</v>
      </c>
      <c r="L178" s="54"/>
      <c r="M178" s="54"/>
      <c r="N178" s="54"/>
      <c r="O178" s="54"/>
      <c r="P178" s="54"/>
      <c r="Q178" s="54"/>
      <c r="R178" s="54"/>
    </row>
    <row r="179" spans="1:18">
      <c r="A179" s="56" t="s">
        <v>407</v>
      </c>
      <c r="B179" s="56" t="s">
        <v>408</v>
      </c>
      <c r="C179" s="56" t="s">
        <v>424</v>
      </c>
      <c r="D179" s="56" t="s">
        <v>515</v>
      </c>
      <c r="E179" s="56" t="s">
        <v>439</v>
      </c>
      <c r="F179" s="56" t="s">
        <v>440</v>
      </c>
      <c r="G179" s="56" t="s">
        <v>48</v>
      </c>
      <c r="H179" s="56">
        <v>10</v>
      </c>
      <c r="I179" s="56">
        <v>9570</v>
      </c>
      <c r="J179" s="71">
        <v>6.833333333333333</v>
      </c>
      <c r="L179" s="54"/>
      <c r="M179" s="54"/>
      <c r="N179" s="54"/>
      <c r="O179" s="54"/>
      <c r="P179" s="54"/>
      <c r="Q179" s="54"/>
      <c r="R179" s="54"/>
    </row>
    <row r="180" spans="1:18">
      <c r="A180" s="56" t="s">
        <v>407</v>
      </c>
      <c r="B180" s="56" t="s">
        <v>408</v>
      </c>
      <c r="C180" s="56" t="s">
        <v>424</v>
      </c>
      <c r="D180" s="56" t="s">
        <v>515</v>
      </c>
      <c r="E180" s="56" t="s">
        <v>441</v>
      </c>
      <c r="F180" s="56" t="s">
        <v>442</v>
      </c>
      <c r="G180" s="56" t="s">
        <v>48</v>
      </c>
      <c r="H180" s="56">
        <v>430</v>
      </c>
      <c r="I180" s="56">
        <v>8896</v>
      </c>
      <c r="J180" s="71">
        <v>6.3417312661498704</v>
      </c>
      <c r="L180" s="54"/>
      <c r="M180" s="54"/>
      <c r="N180" s="54"/>
      <c r="O180" s="54"/>
      <c r="P180" s="54"/>
      <c r="Q180" s="54"/>
      <c r="R180" s="54"/>
    </row>
    <row r="181" spans="1:18">
      <c r="A181" s="56" t="s">
        <v>407</v>
      </c>
      <c r="B181" s="56" t="s">
        <v>408</v>
      </c>
      <c r="C181" s="56" t="s">
        <v>424</v>
      </c>
      <c r="D181" s="56" t="s">
        <v>515</v>
      </c>
      <c r="E181" s="56" t="s">
        <v>443</v>
      </c>
      <c r="F181" s="56" t="s">
        <v>444</v>
      </c>
      <c r="G181" s="56" t="s">
        <v>55</v>
      </c>
      <c r="H181" s="56">
        <v>2054</v>
      </c>
      <c r="I181" s="56">
        <v>7604</v>
      </c>
      <c r="J181" s="71">
        <v>6.7482203115554036</v>
      </c>
      <c r="L181" s="54"/>
      <c r="M181" s="54"/>
      <c r="N181" s="54"/>
      <c r="O181" s="54"/>
      <c r="P181" s="54"/>
      <c r="Q181" s="54"/>
      <c r="R181" s="54"/>
    </row>
    <row r="182" spans="1:18">
      <c r="A182" s="56" t="s">
        <v>407</v>
      </c>
      <c r="B182" s="56" t="s">
        <v>408</v>
      </c>
      <c r="C182" s="56" t="s">
        <v>424</v>
      </c>
      <c r="D182" s="56" t="s">
        <v>515</v>
      </c>
      <c r="E182" s="56" t="s">
        <v>445</v>
      </c>
      <c r="F182" s="56" t="s">
        <v>446</v>
      </c>
      <c r="G182" s="56" t="s">
        <v>48</v>
      </c>
      <c r="H182" s="56">
        <v>535</v>
      </c>
      <c r="I182" s="56">
        <v>16274</v>
      </c>
      <c r="J182" s="71">
        <v>6.3888888888888884</v>
      </c>
      <c r="L182" s="54"/>
      <c r="M182" s="54"/>
      <c r="N182" s="54"/>
      <c r="O182" s="54"/>
      <c r="P182" s="54"/>
      <c r="Q182" s="54"/>
      <c r="R182" s="54"/>
    </row>
    <row r="183" spans="1:18">
      <c r="A183" s="56" t="s">
        <v>407</v>
      </c>
      <c r="B183" s="56" t="s">
        <v>408</v>
      </c>
      <c r="C183" s="56" t="s">
        <v>447</v>
      </c>
      <c r="D183" s="56" t="s">
        <v>516</v>
      </c>
      <c r="E183" s="56" t="s">
        <v>448</v>
      </c>
      <c r="F183" s="56" t="s">
        <v>449</v>
      </c>
      <c r="G183" s="56" t="s">
        <v>48</v>
      </c>
      <c r="H183" s="56">
        <v>1220</v>
      </c>
      <c r="I183" s="56">
        <v>4729</v>
      </c>
      <c r="J183" s="71">
        <v>6.9069495618427617</v>
      </c>
      <c r="L183" s="54"/>
      <c r="M183" s="54"/>
      <c r="N183" s="54"/>
      <c r="O183" s="54"/>
      <c r="P183" s="54"/>
      <c r="Q183" s="54"/>
      <c r="R183" s="54"/>
    </row>
    <row r="184" spans="1:18">
      <c r="A184" s="56" t="s">
        <v>407</v>
      </c>
      <c r="B184" s="56" t="s">
        <v>408</v>
      </c>
      <c r="C184" s="56" t="s">
        <v>447</v>
      </c>
      <c r="D184" s="56" t="s">
        <v>516</v>
      </c>
      <c r="E184" s="56" t="s">
        <v>450</v>
      </c>
      <c r="F184" s="56" t="s">
        <v>451</v>
      </c>
      <c r="G184" s="56" t="s">
        <v>48</v>
      </c>
      <c r="H184" s="56">
        <v>1473</v>
      </c>
      <c r="I184" s="56">
        <v>8825</v>
      </c>
      <c r="J184" s="71">
        <v>6.4635847864566811</v>
      </c>
      <c r="L184" s="54"/>
      <c r="M184" s="54"/>
      <c r="N184" s="54"/>
      <c r="O184" s="54"/>
      <c r="P184" s="54"/>
      <c r="Q184" s="54"/>
      <c r="R184" s="54"/>
    </row>
    <row r="185" spans="1:18">
      <c r="A185" s="56" t="s">
        <v>407</v>
      </c>
      <c r="B185" s="56" t="s">
        <v>408</v>
      </c>
      <c r="C185" s="56" t="s">
        <v>447</v>
      </c>
      <c r="D185" s="56" t="s">
        <v>516</v>
      </c>
      <c r="E185" s="56" t="s">
        <v>452</v>
      </c>
      <c r="F185" s="56" t="s">
        <v>453</v>
      </c>
      <c r="G185" s="56" t="s">
        <v>55</v>
      </c>
      <c r="H185" s="56">
        <v>591</v>
      </c>
      <c r="I185" s="56">
        <v>3062</v>
      </c>
      <c r="J185" s="71">
        <v>7.0836682078025675</v>
      </c>
      <c r="L185" s="54"/>
      <c r="M185" s="54"/>
      <c r="N185" s="54"/>
      <c r="O185" s="54"/>
      <c r="P185" s="54"/>
      <c r="Q185" s="54"/>
      <c r="R185" s="54"/>
    </row>
    <row r="186" spans="1:18">
      <c r="A186" s="56" t="s">
        <v>407</v>
      </c>
      <c r="B186" s="56" t="s">
        <v>408</v>
      </c>
      <c r="C186" s="56" t="s">
        <v>447</v>
      </c>
      <c r="D186" s="56" t="s">
        <v>516</v>
      </c>
      <c r="E186" s="56" t="s">
        <v>454</v>
      </c>
      <c r="F186" s="56" t="s">
        <v>455</v>
      </c>
      <c r="G186" s="56" t="s">
        <v>48</v>
      </c>
      <c r="H186" s="56">
        <v>318</v>
      </c>
      <c r="I186" s="56">
        <v>6514</v>
      </c>
      <c r="J186" s="71">
        <v>5.4690775681341721</v>
      </c>
      <c r="L186" s="54"/>
      <c r="M186" s="54"/>
      <c r="N186" s="54"/>
      <c r="O186" s="54"/>
      <c r="P186" s="54"/>
      <c r="Q186" s="54"/>
      <c r="R186" s="54"/>
    </row>
    <row r="187" spans="1:18">
      <c r="A187" s="56" t="s">
        <v>407</v>
      </c>
      <c r="B187" s="56" t="s">
        <v>408</v>
      </c>
      <c r="C187" s="56" t="s">
        <v>447</v>
      </c>
      <c r="D187" s="56" t="s">
        <v>516</v>
      </c>
      <c r="E187" s="56" t="s">
        <v>456</v>
      </c>
      <c r="F187" s="56" t="s">
        <v>457</v>
      </c>
      <c r="G187" s="56" t="s">
        <v>48</v>
      </c>
      <c r="H187" s="56">
        <v>155</v>
      </c>
      <c r="I187" s="56">
        <v>9445</v>
      </c>
      <c r="J187" s="71">
        <v>5.3154121863799277</v>
      </c>
      <c r="L187" s="54"/>
      <c r="M187" s="54"/>
      <c r="N187" s="54"/>
      <c r="O187" s="54"/>
      <c r="P187" s="54"/>
      <c r="Q187" s="54"/>
      <c r="R187" s="54"/>
    </row>
    <row r="188" spans="1:18">
      <c r="A188" s="56" t="s">
        <v>407</v>
      </c>
      <c r="B188" s="56" t="s">
        <v>408</v>
      </c>
      <c r="C188" s="56" t="s">
        <v>458</v>
      </c>
      <c r="D188" s="56" t="s">
        <v>517</v>
      </c>
      <c r="E188" s="56" t="s">
        <v>459</v>
      </c>
      <c r="F188" s="56" t="s">
        <v>460</v>
      </c>
      <c r="G188" s="56" t="s">
        <v>48</v>
      </c>
      <c r="H188" s="56">
        <v>163</v>
      </c>
      <c r="I188" s="56">
        <v>3486</v>
      </c>
      <c r="J188" s="71">
        <v>6.6905248807089288</v>
      </c>
      <c r="L188" s="54"/>
      <c r="M188" s="54"/>
      <c r="N188" s="54"/>
      <c r="O188" s="54"/>
      <c r="P188" s="54"/>
      <c r="Q188" s="54"/>
      <c r="R188" s="54"/>
    </row>
    <row r="189" spans="1:18">
      <c r="A189" s="56" t="s">
        <v>407</v>
      </c>
      <c r="B189" s="56" t="s">
        <v>408</v>
      </c>
      <c r="C189" s="56" t="s">
        <v>458</v>
      </c>
      <c r="D189" s="56" t="s">
        <v>517</v>
      </c>
      <c r="E189" s="56" t="s">
        <v>461</v>
      </c>
      <c r="F189" s="56" t="s">
        <v>462</v>
      </c>
      <c r="G189" s="56" t="s">
        <v>55</v>
      </c>
      <c r="H189" s="56">
        <v>399</v>
      </c>
      <c r="I189" s="56">
        <v>3247</v>
      </c>
      <c r="J189" s="71">
        <v>6.7921518259489124</v>
      </c>
      <c r="L189" s="54"/>
      <c r="M189" s="54"/>
      <c r="N189" s="54"/>
      <c r="O189" s="54"/>
      <c r="P189" s="54"/>
      <c r="Q189" s="54"/>
      <c r="R189" s="54"/>
    </row>
    <row r="190" spans="1:18">
      <c r="A190" s="56" t="s">
        <v>407</v>
      </c>
      <c r="B190" s="56" t="s">
        <v>408</v>
      </c>
      <c r="C190" s="56" t="s">
        <v>458</v>
      </c>
      <c r="D190" s="56" t="s">
        <v>517</v>
      </c>
      <c r="E190" s="56" t="s">
        <v>463</v>
      </c>
      <c r="F190" s="56" t="s">
        <v>464</v>
      </c>
      <c r="G190" s="56" t="s">
        <v>48</v>
      </c>
      <c r="H190" s="56">
        <v>164</v>
      </c>
      <c r="I190" s="56">
        <v>6226</v>
      </c>
      <c r="J190" s="71">
        <v>6.5565718157181578</v>
      </c>
      <c r="L190" s="54"/>
      <c r="M190" s="54"/>
      <c r="N190" s="54"/>
      <c r="O190" s="54"/>
      <c r="P190" s="54"/>
      <c r="Q190" s="54"/>
      <c r="R190" s="54"/>
    </row>
    <row r="191" spans="1:18">
      <c r="A191" s="56" t="s">
        <v>407</v>
      </c>
      <c r="B191" s="56" t="s">
        <v>408</v>
      </c>
      <c r="C191" s="56" t="s">
        <v>458</v>
      </c>
      <c r="D191" s="56" t="s">
        <v>517</v>
      </c>
      <c r="E191" s="56" t="s">
        <v>465</v>
      </c>
      <c r="F191" s="56" t="s">
        <v>466</v>
      </c>
      <c r="G191" s="56" t="s">
        <v>48</v>
      </c>
      <c r="H191" s="56">
        <v>236</v>
      </c>
      <c r="I191" s="56">
        <v>6344</v>
      </c>
      <c r="J191" s="71">
        <v>6.2511770244821081</v>
      </c>
      <c r="L191" s="54"/>
      <c r="M191" s="54"/>
      <c r="N191" s="54"/>
      <c r="O191" s="54"/>
      <c r="P191" s="54"/>
      <c r="Q191" s="54"/>
      <c r="R191" s="54"/>
    </row>
    <row r="192" spans="1:18">
      <c r="A192" s="56" t="s">
        <v>407</v>
      </c>
      <c r="B192" s="56" t="s">
        <v>408</v>
      </c>
      <c r="C192" s="56" t="s">
        <v>458</v>
      </c>
      <c r="D192" s="56" t="s">
        <v>517</v>
      </c>
      <c r="E192" s="56" t="s">
        <v>467</v>
      </c>
      <c r="F192" s="56" t="s">
        <v>468</v>
      </c>
      <c r="G192" s="56" t="s">
        <v>55</v>
      </c>
      <c r="H192" s="56">
        <v>132</v>
      </c>
      <c r="I192" s="56">
        <v>3088</v>
      </c>
      <c r="J192" s="71">
        <v>6.900252525252526</v>
      </c>
      <c r="L192" s="54"/>
      <c r="M192" s="54"/>
      <c r="N192" s="54"/>
      <c r="O192" s="54"/>
      <c r="P192" s="54"/>
      <c r="Q192" s="54"/>
      <c r="R192" s="54"/>
    </row>
    <row r="193" spans="1:18">
      <c r="A193" s="56" t="s">
        <v>407</v>
      </c>
      <c r="B193" s="56" t="s">
        <v>408</v>
      </c>
      <c r="C193" s="56" t="s">
        <v>458</v>
      </c>
      <c r="D193" s="56" t="s">
        <v>517</v>
      </c>
      <c r="E193" s="56" t="s">
        <v>469</v>
      </c>
      <c r="F193" s="56" t="s">
        <v>470</v>
      </c>
      <c r="G193" s="56" t="s">
        <v>88</v>
      </c>
      <c r="H193" s="56">
        <v>935</v>
      </c>
      <c r="I193" s="56">
        <v>3146</v>
      </c>
      <c r="J193" s="71">
        <v>6.8116671111429001</v>
      </c>
      <c r="L193" s="54"/>
      <c r="M193" s="54"/>
      <c r="N193" s="54"/>
      <c r="O193" s="54"/>
      <c r="P193" s="54"/>
      <c r="Q193" s="54"/>
      <c r="R193" s="54"/>
    </row>
    <row r="194" spans="1:18">
      <c r="A194" s="56" t="s">
        <v>407</v>
      </c>
      <c r="B194" s="56" t="s">
        <v>408</v>
      </c>
      <c r="C194" s="56" t="s">
        <v>458</v>
      </c>
      <c r="D194" s="56" t="s">
        <v>517</v>
      </c>
      <c r="E194" s="56" t="s">
        <v>471</v>
      </c>
      <c r="F194" s="56" t="s">
        <v>472</v>
      </c>
      <c r="G194" s="56" t="s">
        <v>48</v>
      </c>
      <c r="H194" s="56">
        <v>1850</v>
      </c>
      <c r="I194" s="56">
        <v>8839</v>
      </c>
      <c r="J194" s="71">
        <v>6.5579665742615925</v>
      </c>
      <c r="L194" s="54"/>
      <c r="M194" s="54"/>
      <c r="N194" s="54"/>
      <c r="O194" s="54"/>
      <c r="P194" s="54"/>
      <c r="Q194" s="54"/>
      <c r="R194" s="54"/>
    </row>
    <row r="195" spans="1:18">
      <c r="A195" s="56" t="s">
        <v>407</v>
      </c>
      <c r="B195" s="56" t="s">
        <v>408</v>
      </c>
      <c r="C195" s="56" t="s">
        <v>458</v>
      </c>
      <c r="D195" s="56" t="s">
        <v>517</v>
      </c>
      <c r="E195" s="56" t="s">
        <v>473</v>
      </c>
      <c r="F195" s="56" t="s">
        <v>474</v>
      </c>
      <c r="G195" s="56" t="s">
        <v>55</v>
      </c>
      <c r="H195" s="56">
        <v>168</v>
      </c>
      <c r="I195" s="56">
        <v>4520</v>
      </c>
      <c r="J195" s="71">
        <v>7.5183639366331674</v>
      </c>
      <c r="L195" s="54"/>
      <c r="M195" s="54"/>
      <c r="N195" s="54"/>
      <c r="O195" s="54"/>
      <c r="P195" s="54"/>
      <c r="Q195" s="54"/>
      <c r="R195" s="54"/>
    </row>
    <row r="196" spans="1:18">
      <c r="A196" s="57" t="s">
        <v>407</v>
      </c>
      <c r="B196" s="57" t="s">
        <v>408</v>
      </c>
      <c r="C196" s="57" t="s">
        <v>458</v>
      </c>
      <c r="D196" s="57" t="s">
        <v>517</v>
      </c>
      <c r="E196" s="57" t="s">
        <v>475</v>
      </c>
      <c r="F196" s="57" t="s">
        <v>476</v>
      </c>
      <c r="G196" s="57" t="s">
        <v>178</v>
      </c>
      <c r="H196" s="57">
        <v>395</v>
      </c>
      <c r="I196" s="57">
        <v>5792</v>
      </c>
      <c r="J196" s="72">
        <v>5.7369901547116733</v>
      </c>
      <c r="L196" s="54"/>
      <c r="M196" s="54"/>
      <c r="N196" s="54"/>
      <c r="O196" s="54"/>
      <c r="P196" s="54"/>
      <c r="Q196" s="54"/>
      <c r="R196" s="54"/>
    </row>
    <row r="197" spans="1:18">
      <c r="L197" s="54"/>
      <c r="M197" s="54"/>
      <c r="N197" s="54"/>
      <c r="O197" s="54"/>
      <c r="P197" s="54"/>
      <c r="Q197" s="54"/>
      <c r="R197" s="54"/>
    </row>
    <row r="198" spans="1:18">
      <c r="L198" s="54"/>
      <c r="M198" s="54"/>
      <c r="N198" s="54"/>
      <c r="O198" s="54"/>
      <c r="P198" s="54"/>
      <c r="Q198" s="54"/>
      <c r="R198" s="54"/>
    </row>
    <row r="199" spans="1:18">
      <c r="L199" s="54"/>
      <c r="M199" s="54"/>
      <c r="N199" s="54"/>
      <c r="O199" s="54"/>
      <c r="P199" s="54"/>
      <c r="Q199" s="54"/>
      <c r="R199" s="54"/>
    </row>
    <row r="200" spans="1:18">
      <c r="L200" s="54"/>
      <c r="M200" s="54"/>
      <c r="N200" s="54"/>
      <c r="O200" s="54"/>
      <c r="P200" s="54"/>
      <c r="Q200" s="54"/>
      <c r="R200" s="54"/>
    </row>
    <row r="201" spans="1:18">
      <c r="L201" s="54"/>
      <c r="M201" s="54"/>
      <c r="N201" s="54"/>
      <c r="O201" s="54"/>
      <c r="P201" s="54"/>
      <c r="Q201" s="54"/>
      <c r="R201" s="54"/>
    </row>
    <row r="202" spans="1:18">
      <c r="L202" s="54"/>
      <c r="M202" s="54"/>
      <c r="N202" s="54"/>
      <c r="O202" s="54"/>
      <c r="P202" s="54"/>
      <c r="Q202" s="54"/>
      <c r="R202" s="54"/>
    </row>
    <row r="203" spans="1:18">
      <c r="L203" s="54"/>
      <c r="M203" s="54"/>
      <c r="N203" s="54"/>
      <c r="O203" s="54"/>
      <c r="P203" s="54"/>
      <c r="Q203" s="54"/>
      <c r="R203" s="54"/>
    </row>
    <row r="204" spans="1:18">
      <c r="L204" s="54"/>
      <c r="M204" s="54"/>
      <c r="N204" s="54"/>
      <c r="O204" s="54"/>
      <c r="P204" s="54"/>
      <c r="Q204" s="54"/>
      <c r="R204" s="54"/>
    </row>
    <row r="205" spans="1:18">
      <c r="L205" s="54"/>
      <c r="M205" s="54"/>
      <c r="N205" s="54"/>
      <c r="O205" s="54"/>
      <c r="P205" s="54"/>
      <c r="Q205" s="54"/>
      <c r="R205" s="54"/>
    </row>
    <row r="206" spans="1:18">
      <c r="L206" s="54"/>
      <c r="M206" s="54"/>
      <c r="N206" s="54"/>
      <c r="O206" s="54"/>
      <c r="P206" s="54"/>
      <c r="Q206" s="54"/>
      <c r="R206" s="54"/>
    </row>
    <row r="207" spans="1:18">
      <c r="L207" s="54"/>
      <c r="M207" s="54"/>
      <c r="N207" s="54"/>
      <c r="O207" s="54"/>
      <c r="P207" s="54"/>
      <c r="Q207" s="54"/>
      <c r="R207" s="54"/>
    </row>
    <row r="208" spans="1:18">
      <c r="L208" s="54"/>
      <c r="M208" s="54"/>
      <c r="N208" s="54"/>
      <c r="O208" s="54"/>
      <c r="P208" s="54"/>
      <c r="Q208" s="54"/>
      <c r="R208" s="54"/>
    </row>
  </sheetData>
  <sheetProtection autoFilter="0"/>
  <mergeCells count="10">
    <mergeCell ref="A7:A8"/>
    <mergeCell ref="B7:B8"/>
    <mergeCell ref="C7:C8"/>
    <mergeCell ref="D7:D8"/>
    <mergeCell ref="E7:E8"/>
    <mergeCell ref="F7:F8"/>
    <mergeCell ref="G7:G8"/>
    <mergeCell ref="H7:H8"/>
    <mergeCell ref="I7:I8"/>
    <mergeCell ref="J7:J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Engagement">
              <controlPr defaultSize="0" autoFill="0" autoPict="0" macro="[0]!Engagement">
                <anchor>
                  <from>
                    <xdr:col>4</xdr:col>
                    <xdr:colOff>326445</xdr:colOff>
                    <xdr:row>1</xdr:row>
                    <xdr:rowOff>110374</xdr:rowOff>
                  </from>
                  <to>
                    <xdr:col>5</xdr:col>
                    <xdr:colOff>947720</xdr:colOff>
                    <xdr:row>2</xdr:row>
                    <xdr:rowOff>193678</xdr:rowOff>
                  </to>
                </anchor>
              </controlPr>
            </control>
          </mc:Choice>
        </mc:AlternateContent>
        <mc:AlternateContent xmlns:mc="http://schemas.openxmlformats.org/markup-compatibility/2006">
          <mc:Choice Requires="x14">
            <control shapeId="4098" r:id="rId5" name="Advocacy">
              <controlPr defaultSize="0" autoFill="0" autoPict="0" macro="[0]!Advocacy">
                <anchor>
                  <from>
                    <xdr:col>5</xdr:col>
                    <xdr:colOff>1080810</xdr:colOff>
                    <xdr:row>1</xdr:row>
                    <xdr:rowOff>110374</xdr:rowOff>
                  </from>
                  <to>
                    <xdr:col>5</xdr:col>
                    <xdr:colOff>2340260</xdr:colOff>
                    <xdr:row>2</xdr:row>
                    <xdr:rowOff>193678</xdr:rowOff>
                  </to>
                </anchor>
              </controlPr>
            </control>
          </mc:Choice>
        </mc:AlternateContent>
        <mc:AlternateContent xmlns:mc="http://schemas.openxmlformats.org/markup-compatibility/2006">
          <mc:Choice Requires="x14">
            <control shapeId="4099" r:id="rId6" name="Notes">
              <controlPr defaultSize="0" autoFill="0" autoPict="0" macro="[0]!Notes">
                <anchor>
                  <from>
                    <xdr:col>1</xdr:col>
                    <xdr:colOff>323372</xdr:colOff>
                    <xdr:row>1</xdr:row>
                    <xdr:rowOff>110374</xdr:rowOff>
                  </from>
                  <to>
                    <xdr:col>1</xdr:col>
                    <xdr:colOff>1582822</xdr:colOff>
                    <xdr:row>2</xdr:row>
                    <xdr:rowOff>193678</xdr:rowOff>
                  </to>
                </anchor>
              </controlPr>
            </control>
          </mc:Choice>
        </mc:AlternateContent>
        <mc:AlternateContent xmlns:mc="http://schemas.openxmlformats.org/markup-compatibility/2006">
          <mc:Choice Requires="x14">
            <control shapeId="4100" r:id="rId7" name="Summary">
              <controlPr defaultSize="0" autoFill="0" autoPict="0" macro="[0]!Summary">
                <anchor moveWithCells="1" sizeWithCells="1">
                  <from>
                    <xdr:col>1</xdr:col>
                    <xdr:colOff>1757892</xdr:colOff>
                    <xdr:row>1</xdr:row>
                    <xdr:rowOff>110374</xdr:rowOff>
                  </from>
                  <to>
                    <xdr:col>1</xdr:col>
                    <xdr:colOff>3017342</xdr:colOff>
                    <xdr:row>2</xdr:row>
                    <xdr:rowOff>193678</xdr:rowOff>
                  </to>
                </anchor>
              </controlPr>
            </control>
          </mc:Choice>
        </mc:AlternateContent>
        <mc:AlternateContent xmlns:mc="http://schemas.openxmlformats.org/markup-compatibility/2006">
          <mc:Choice Requires="x14">
            <control shapeId="4101" r:id="rId8" name="Involvement">
              <controlPr defaultSize="0" autoFill="0" autoPict="0" macro="[0]!Involvement">
                <anchor>
                  <from>
                    <xdr:col>5</xdr:col>
                    <xdr:colOff>2473351</xdr:colOff>
                    <xdr:row>1</xdr:row>
                    <xdr:rowOff>110374</xdr:rowOff>
                  </from>
                  <to>
                    <xdr:col>5</xdr:col>
                    <xdr:colOff>3732801</xdr:colOff>
                    <xdr:row>2</xdr:row>
                    <xdr:rowOff>193678</xdr:rowOff>
                  </to>
                </anchor>
              </controlPr>
            </control>
          </mc:Choice>
        </mc:AlternateContent>
        <mc:AlternateContent xmlns:mc="http://schemas.openxmlformats.org/markup-compatibility/2006">
          <mc:Choice Requires="x14">
            <control shapeId="4102" r:id="rId9" name="Motivation">
              <controlPr defaultSize="0" autoFill="0" autoPict="0" macro="[0]!Motivation">
                <anchor>
                  <from>
                    <xdr:col>5</xdr:col>
                    <xdr:colOff>3865892</xdr:colOff>
                    <xdr:row>1</xdr:row>
                    <xdr:rowOff>118630</xdr:rowOff>
                  </from>
                  <to>
                    <xdr:col>5</xdr:col>
                    <xdr:colOff>5125342</xdr:colOff>
                    <xdr:row>3</xdr:row>
                    <xdr:rowOff>1909</xdr:rowOff>
                  </to>
                </anchor>
              </controlPr>
            </control>
          </mc:Choice>
        </mc:AlternateContent>
        <mc:AlternateContent xmlns:mc="http://schemas.openxmlformats.org/markup-compatibility/2006">
          <mc:Choice Requires="x14">
            <control shapeId="4103" r:id="rId10" name="Breakdown">
              <controlPr defaultSize="0" autoFill="0" autoPict="0" macro="[0]!Breakdown">
                <anchor>
                  <from>
                    <xdr:col>3</xdr:col>
                    <xdr:colOff>1808565</xdr:colOff>
                    <xdr:row>1</xdr:row>
                    <xdr:rowOff>110374</xdr:rowOff>
                  </from>
                  <to>
                    <xdr:col>3</xdr:col>
                    <xdr:colOff>3068015</xdr:colOff>
                    <xdr:row>2</xdr:row>
                    <xdr:rowOff>193678</xdr:rowOff>
                  </to>
                </anchor>
              </controlPr>
            </control>
          </mc:Choice>
        </mc:AlternateContent>
        <mc:AlternateContent xmlns:mc="http://schemas.openxmlformats.org/markup-compatibility/2006">
          <mc:Choice Requires="x14">
            <control shapeId="4104" r:id="rId11" name="Scores">
              <controlPr defaultSize="0" autoFill="0" autoPict="0" macro="[1]!MacrosForWebfileForMalwina.Scores">
                <anchor>
                  <from>
                    <xdr:col>3</xdr:col>
                    <xdr:colOff>3201105</xdr:colOff>
                    <xdr:row>1</xdr:row>
                    <xdr:rowOff>110374</xdr:rowOff>
                  </from>
                  <to>
                    <xdr:col>4</xdr:col>
                    <xdr:colOff>193355</xdr:colOff>
                    <xdr:row>2</xdr:row>
                    <xdr:rowOff>193678</xdr:rowOff>
                  </to>
                </anchor>
              </controlPr>
            </control>
          </mc:Choice>
        </mc:AlternateContent>
        <mc:AlternateContent xmlns:mc="http://schemas.openxmlformats.org/markup-compatibility/2006">
          <mc:Choice Requires="x14">
            <control shapeId="4105" r:id="rId12" name="Region code">
              <controlPr defaultSize="0" autoLine="0" autoPict="0" macro="[0]!FilterListsRegionCode">
                <anchor>
                  <from>
                    <xdr:col>3</xdr:col>
                    <xdr:colOff>2955400</xdr:colOff>
                    <xdr:row>4</xdr:row>
                    <xdr:rowOff>114378</xdr:rowOff>
                  </from>
                  <to>
                    <xdr:col>3</xdr:col>
                    <xdr:colOff>3604672</xdr:colOff>
                    <xdr:row>4</xdr:row>
                    <xdr:rowOff>342931</xdr:rowOff>
                  </to>
                </anchor>
              </controlPr>
            </control>
          </mc:Choice>
        </mc:AlternateContent>
        <mc:AlternateContent xmlns:mc="http://schemas.openxmlformats.org/markup-compatibility/2006">
          <mc:Choice Requires="x14">
            <control shapeId="4106" r:id="rId13" name="Reset">
              <controlPr defaultSize="0" autoFill="0" autoPict="0" macro="[0]!Reset">
                <anchor>
                  <from>
                    <xdr:col>5</xdr:col>
                    <xdr:colOff>1875640</xdr:colOff>
                    <xdr:row>4</xdr:row>
                    <xdr:rowOff>114378</xdr:rowOff>
                  </from>
                  <to>
                    <xdr:col>5</xdr:col>
                    <xdr:colOff>2830452</xdr:colOff>
                    <xdr:row>4</xdr:row>
                    <xdr:rowOff>438161</xdr:rowOff>
                  </to>
                </anchor>
              </controlPr>
            </control>
          </mc:Choice>
        </mc:AlternateContent>
        <mc:AlternateContent xmlns:mc="http://schemas.openxmlformats.org/markup-compatibility/2006">
          <mc:Choice Requires="x14">
            <control shapeId="4107" r:id="rId14" name="Region name">
              <controlPr defaultSize="0" autoLine="0" autoPict="0" macro="[0]!FilterListsRegionName">
                <anchor>
                  <from>
                    <xdr:col>3</xdr:col>
                    <xdr:colOff>3652413</xdr:colOff>
                    <xdr:row>4</xdr:row>
                    <xdr:rowOff>114378</xdr:rowOff>
                  </from>
                  <to>
                    <xdr:col>5</xdr:col>
                    <xdr:colOff>1654972</xdr:colOff>
                    <xdr:row>4</xdr:row>
                    <xdr:rowOff>342931</xdr:rowOff>
                  </to>
                </anchor>
              </controlPr>
            </control>
          </mc:Choice>
        </mc:AlternateContent>
        <mc:AlternateContent xmlns:mc="http://schemas.openxmlformats.org/markup-compatibility/2006">
          <mc:Choice Requires="x14">
            <control shapeId="4108" r:id="rId15" name="STP Code">
              <controlPr defaultSize="0" autoLine="0" autoPict="0" macro="[0]!FilterListsSTPCode">
                <anchor>
                  <from>
                    <xdr:col>3</xdr:col>
                    <xdr:colOff>2955400</xdr:colOff>
                    <xdr:row>4</xdr:row>
                    <xdr:rowOff>390546</xdr:rowOff>
                  </from>
                  <to>
                    <xdr:col>3</xdr:col>
                    <xdr:colOff>3604672</xdr:colOff>
                    <xdr:row>4</xdr:row>
                    <xdr:rowOff>619099</xdr:rowOff>
                  </to>
                </anchor>
              </controlPr>
            </control>
          </mc:Choice>
        </mc:AlternateContent>
        <mc:AlternateContent xmlns:mc="http://schemas.openxmlformats.org/markup-compatibility/2006">
          <mc:Choice Requires="x14">
            <control shapeId="4109" r:id="rId16" name="STP Name">
              <controlPr defaultSize="0" autoLine="0" autoPict="0" macro="[0]!FilterListsSTPName">
                <anchor>
                  <from>
                    <xdr:col>3</xdr:col>
                    <xdr:colOff>3652413</xdr:colOff>
                    <xdr:row>4</xdr:row>
                    <xdr:rowOff>390546</xdr:rowOff>
                  </from>
                  <to>
                    <xdr:col>5</xdr:col>
                    <xdr:colOff>1654972</xdr:colOff>
                    <xdr:row>4</xdr:row>
                    <xdr:rowOff>619099</xdr:rowOff>
                  </to>
                </anchor>
              </controlPr>
            </control>
          </mc:Choice>
        </mc:AlternateContent>
        <mc:AlternateContent xmlns:mc="http://schemas.openxmlformats.org/markup-compatibility/2006">
          <mc:Choice Requires="x14">
            <control shapeId="4110" r:id="rId17" name="Org Code">
              <controlPr defaultSize="0" autoLine="0" autoPict="0" macro="[0]!FilterListsOrgCode">
                <anchor>
                  <from>
                    <xdr:col>3</xdr:col>
                    <xdr:colOff>2955400</xdr:colOff>
                    <xdr:row>4</xdr:row>
                    <xdr:rowOff>677295</xdr:rowOff>
                  </from>
                  <to>
                    <xdr:col>3</xdr:col>
                    <xdr:colOff>3604672</xdr:colOff>
                    <xdr:row>4</xdr:row>
                    <xdr:rowOff>905848</xdr:rowOff>
                  </to>
                </anchor>
              </controlPr>
            </control>
          </mc:Choice>
        </mc:AlternateContent>
        <mc:AlternateContent xmlns:mc="http://schemas.openxmlformats.org/markup-compatibility/2006">
          <mc:Choice Requires="x14">
            <control shapeId="4111" r:id="rId18" name="Org Name">
              <controlPr defaultSize="0" autoLine="0" autoPict="0" macro="[0]!FilterListsOrgName">
                <anchor>
                  <from>
                    <xdr:col>3</xdr:col>
                    <xdr:colOff>3652413</xdr:colOff>
                    <xdr:row>4</xdr:row>
                    <xdr:rowOff>677295</xdr:rowOff>
                  </from>
                  <to>
                    <xdr:col>5</xdr:col>
                    <xdr:colOff>1654972</xdr:colOff>
                    <xdr:row>4</xdr:row>
                    <xdr:rowOff>905848</xdr:rowOff>
                  </to>
                </anchor>
              </controlPr>
            </control>
          </mc:Choice>
        </mc:AlternateContent>
        <mc:AlternateContent xmlns:mc="http://schemas.openxmlformats.org/markup-compatibility/2006">
          <mc:Choice Requires="x14">
            <control shapeId="4112" r:id="rId19" name="Setting">
              <controlPr defaultSize="0" autoLine="0" autoPict="0" macro="[0]!FilterCareSetting">
                <anchor>
                  <from>
                    <xdr:col>3</xdr:col>
                    <xdr:colOff>2955400</xdr:colOff>
                    <xdr:row>4</xdr:row>
                    <xdr:rowOff>965102</xdr:rowOff>
                  </from>
                  <to>
                    <xdr:col>5</xdr:col>
                    <xdr:colOff>121967</xdr:colOff>
                    <xdr:row>4</xdr:row>
                    <xdr:rowOff>1203178</xdr:rowOff>
                  </to>
                </anchor>
              </controlPr>
            </control>
          </mc:Choice>
        </mc:AlternateContent>
        <mc:AlternateContent xmlns:mc="http://schemas.openxmlformats.org/markup-compatibility/2006">
          <mc:Choice Requires="x14">
            <control shapeId="4113" r:id="rId20" name="Drop Down Sort">
              <controlPr defaultSize="0" autoLine="0" autoPict="0">
                <anchor>
                  <from>
                    <xdr:col>1</xdr:col>
                    <xdr:colOff>1135142</xdr:colOff>
                    <xdr:row>4</xdr:row>
                    <xdr:rowOff>135542</xdr:rowOff>
                  </from>
                  <to>
                    <xdr:col>1</xdr:col>
                    <xdr:colOff>3082959</xdr:colOff>
                    <xdr:row>4</xdr:row>
                    <xdr:rowOff>383141</xdr:rowOff>
                  </to>
                </anchor>
              </controlPr>
            </control>
          </mc:Choice>
        </mc:AlternateContent>
        <mc:AlternateContent xmlns:mc="http://schemas.openxmlformats.org/markup-compatibility/2006">
          <mc:Choice Requires="x14">
            <control shapeId="4114" r:id="rId21" name="sort">
              <controlPr defaultSize="0" autoFill="0" autoPict="0" macro="[0]!_xludf.Sort">
                <anchor>
                  <from>
                    <xdr:col>1</xdr:col>
                    <xdr:colOff>3336513</xdr:colOff>
                    <xdr:row>4</xdr:row>
                    <xdr:rowOff>114377</xdr:rowOff>
                  </from>
                  <to>
                    <xdr:col>3</xdr:col>
                    <xdr:colOff>16699</xdr:colOff>
                    <xdr:row>4</xdr:row>
                    <xdr:rowOff>438160</xdr:rowOff>
                  </to>
                </anchor>
              </controlPr>
            </control>
          </mc:Choice>
        </mc:AlternateContent>
        <mc:AlternateContent xmlns:mc="http://schemas.openxmlformats.org/markup-compatibility/2006">
          <mc:Choice Requires="x14">
            <control shapeId="4115" r:id="rId22" name="Low">
              <controlPr defaultSize="0" autoFill="0" autoLine="0" autoPict="0">
                <anchor>
                  <from>
                    <xdr:col>1</xdr:col>
                    <xdr:colOff>915535</xdr:colOff>
                    <xdr:row>4</xdr:row>
                    <xdr:rowOff>449802</xdr:rowOff>
                  </from>
                  <to>
                    <xdr:col>1</xdr:col>
                    <xdr:colOff>2013569</xdr:colOff>
                    <xdr:row>4</xdr:row>
                    <xdr:rowOff>773585</xdr:rowOff>
                  </to>
                </anchor>
              </controlPr>
            </control>
          </mc:Choice>
        </mc:AlternateContent>
        <mc:AlternateContent xmlns:mc="http://schemas.openxmlformats.org/markup-compatibility/2006">
          <mc:Choice Requires="x14">
            <control shapeId="4116" r:id="rId23" name="High">
              <controlPr defaultSize="0" autoFill="0" autoLine="0" autoPict="0">
                <anchor>
                  <from>
                    <xdr:col>1</xdr:col>
                    <xdr:colOff>2147243</xdr:colOff>
                    <xdr:row>4</xdr:row>
                    <xdr:rowOff>468848</xdr:rowOff>
                  </from>
                  <to>
                    <xdr:col>1</xdr:col>
                    <xdr:colOff>3111603</xdr:colOff>
                    <xdr:row>4</xdr:row>
                    <xdr:rowOff>764062</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26738-F3F6-410B-8088-B9C832D1BA70}">
  <sheetPr codeName="Sheet30">
    <tabColor theme="3" tint="0.59999389629810485"/>
  </sheetPr>
  <dimension ref="A1:K196"/>
  <sheetViews>
    <sheetView topLeftCell="E1" workbookViewId="0">
      <selection activeCell="H5" sqref="H5"/>
    </sheetView>
  </sheetViews>
  <sheetFormatPr defaultColWidth="9.140625" defaultRowHeight="14.45"/>
  <cols>
    <col min="1" max="1" width="9.5703125" style="12" customWidth="1"/>
    <col min="2" max="2" width="54.42578125" style="12" bestFit="1" customWidth="1"/>
    <col min="3" max="3" width="9.5703125" style="12" customWidth="1"/>
    <col min="4" max="4" width="64" style="12" bestFit="1" customWidth="1"/>
    <col min="5" max="5" width="9.5703125" style="12" customWidth="1"/>
    <col min="6" max="6" width="88.42578125" style="12" bestFit="1" customWidth="1"/>
    <col min="7" max="7" width="81.85546875" style="12" bestFit="1" customWidth="1"/>
    <col min="8" max="8" width="13" style="12" customWidth="1"/>
    <col min="9" max="9" width="12.5703125" style="12" customWidth="1"/>
    <col min="10" max="10" width="17.28515625" style="73" customWidth="1"/>
    <col min="11" max="11" width="9.140625" style="12"/>
    <col min="12" max="16384" width="9.140625" style="44"/>
  </cols>
  <sheetData>
    <row r="1" spans="1:11" ht="15" customHeight="1">
      <c r="A1" s="44"/>
      <c r="B1" s="44"/>
      <c r="C1" s="44"/>
      <c r="D1" s="44"/>
      <c r="E1" s="44"/>
      <c r="F1" s="44"/>
      <c r="G1" s="44"/>
      <c r="H1" s="44"/>
      <c r="I1" s="44"/>
      <c r="J1" s="74"/>
      <c r="K1" s="44"/>
    </row>
    <row r="2" spans="1:11" ht="30" customHeight="1">
      <c r="A2" s="44"/>
      <c r="B2" s="44"/>
      <c r="C2" s="44"/>
      <c r="D2" s="44"/>
      <c r="E2" s="44"/>
      <c r="F2" s="44"/>
      <c r="G2" s="44"/>
      <c r="H2" s="44"/>
      <c r="I2" s="44"/>
      <c r="J2" s="74"/>
      <c r="K2" s="44"/>
    </row>
    <row r="3" spans="1:11" ht="15.75" customHeight="1">
      <c r="A3" s="44"/>
      <c r="B3" s="44"/>
      <c r="C3" s="44"/>
      <c r="D3" s="44"/>
      <c r="E3" s="44"/>
      <c r="F3" s="44"/>
      <c r="G3" s="44"/>
      <c r="H3" s="44"/>
      <c r="I3" s="44"/>
      <c r="J3" s="74"/>
      <c r="K3" s="44"/>
    </row>
    <row r="4" spans="1:11" ht="15" customHeight="1">
      <c r="A4" s="44"/>
      <c r="B4" s="44"/>
      <c r="C4" s="44"/>
      <c r="D4" s="44"/>
      <c r="E4" s="44"/>
      <c r="F4" s="44"/>
      <c r="G4" s="44"/>
      <c r="H4" s="44"/>
      <c r="I4" s="44"/>
      <c r="J4" s="74"/>
      <c r="K4" s="44"/>
    </row>
    <row r="5" spans="1:11" ht="97.5" customHeight="1">
      <c r="A5" s="44"/>
      <c r="B5" s="44"/>
      <c r="C5" s="44"/>
      <c r="D5" s="44"/>
      <c r="E5" s="44"/>
      <c r="F5" s="44"/>
      <c r="G5" s="44"/>
      <c r="H5" s="44"/>
      <c r="I5" s="44"/>
      <c r="J5" s="74"/>
      <c r="K5" s="44"/>
    </row>
    <row r="6" spans="1:11" ht="9.75" customHeight="1">
      <c r="A6" s="44"/>
      <c r="B6" s="44"/>
      <c r="C6" s="44"/>
      <c r="D6" s="44"/>
      <c r="E6" s="44"/>
      <c r="F6" s="46"/>
      <c r="G6" s="46"/>
      <c r="H6" s="47"/>
      <c r="I6" s="44"/>
      <c r="J6" s="75"/>
      <c r="K6" s="44"/>
    </row>
    <row r="7" spans="1:11" s="49" customFormat="1" ht="15.75" customHeight="1">
      <c r="A7" s="110" t="s">
        <v>32</v>
      </c>
      <c r="B7" s="110" t="s">
        <v>33</v>
      </c>
      <c r="C7" s="110" t="s">
        <v>34</v>
      </c>
      <c r="D7" s="102" t="s">
        <v>35</v>
      </c>
      <c r="E7" s="110" t="s">
        <v>36</v>
      </c>
      <c r="F7" s="102" t="s">
        <v>37</v>
      </c>
      <c r="G7" s="102" t="s">
        <v>38</v>
      </c>
      <c r="H7" s="104" t="s">
        <v>39</v>
      </c>
      <c r="I7" s="106" t="s">
        <v>40</v>
      </c>
      <c r="J7" s="108" t="s">
        <v>518</v>
      </c>
    </row>
    <row r="8" spans="1:11" s="49" customFormat="1" ht="33" customHeight="1">
      <c r="A8" s="110"/>
      <c r="B8" s="110"/>
      <c r="C8" s="102"/>
      <c r="D8" s="103"/>
      <c r="E8" s="102"/>
      <c r="F8" s="103"/>
      <c r="G8" s="103"/>
      <c r="H8" s="105"/>
      <c r="I8" s="107"/>
      <c r="J8" s="109"/>
    </row>
    <row r="9" spans="1:11" s="54" customFormat="1" ht="13.5">
      <c r="A9" s="50"/>
      <c r="B9" s="51"/>
      <c r="C9" s="51"/>
      <c r="D9" s="51"/>
      <c r="E9" s="51"/>
      <c r="F9" s="59" t="s">
        <v>42</v>
      </c>
      <c r="G9" s="59"/>
      <c r="H9" s="58">
        <v>127366</v>
      </c>
      <c r="I9" s="58">
        <v>1180653</v>
      </c>
      <c r="J9" s="69">
        <v>6.6465998251757403</v>
      </c>
    </row>
    <row r="10" spans="1:11" ht="15" customHeight="1">
      <c r="A10" s="55" t="s">
        <v>43</v>
      </c>
      <c r="B10" s="55" t="s">
        <v>44</v>
      </c>
      <c r="C10" s="55" t="s">
        <v>45</v>
      </c>
      <c r="D10" s="55" t="s">
        <v>477</v>
      </c>
      <c r="E10" s="55" t="s">
        <v>46</v>
      </c>
      <c r="F10" s="55" t="s">
        <v>47</v>
      </c>
      <c r="G10" s="55" t="s">
        <v>48</v>
      </c>
      <c r="H10" s="55">
        <v>2737</v>
      </c>
      <c r="I10" s="55">
        <v>22169</v>
      </c>
      <c r="J10" s="64">
        <v>7.4957374254049443</v>
      </c>
    </row>
    <row r="11" spans="1:11" ht="15" customHeight="1">
      <c r="A11" s="56" t="s">
        <v>43</v>
      </c>
      <c r="B11" s="56" t="s">
        <v>44</v>
      </c>
      <c r="C11" s="56" t="s">
        <v>45</v>
      </c>
      <c r="D11" s="56" t="s">
        <v>477</v>
      </c>
      <c r="E11" s="56" t="s">
        <v>49</v>
      </c>
      <c r="F11" s="56" t="s">
        <v>50</v>
      </c>
      <c r="G11" s="56" t="s">
        <v>48</v>
      </c>
      <c r="H11" s="56">
        <v>1285</v>
      </c>
      <c r="I11" s="56">
        <v>13297</v>
      </c>
      <c r="J11" s="65">
        <v>6.7107652399481195</v>
      </c>
    </row>
    <row r="12" spans="1:11" ht="15" customHeight="1">
      <c r="A12" s="56" t="s">
        <v>43</v>
      </c>
      <c r="B12" s="56" t="s">
        <v>44</v>
      </c>
      <c r="C12" s="56" t="s">
        <v>45</v>
      </c>
      <c r="D12" s="56" t="s">
        <v>477</v>
      </c>
      <c r="E12" s="56" t="s">
        <v>51</v>
      </c>
      <c r="F12" s="56" t="s">
        <v>52</v>
      </c>
      <c r="G12" s="56" t="s">
        <v>48</v>
      </c>
      <c r="H12" s="56">
        <v>433</v>
      </c>
      <c r="I12" s="56">
        <v>6850</v>
      </c>
      <c r="J12" s="65">
        <v>5.8294842186297151</v>
      </c>
    </row>
    <row r="13" spans="1:11" ht="15" customHeight="1">
      <c r="A13" s="56" t="s">
        <v>43</v>
      </c>
      <c r="B13" s="56" t="s">
        <v>44</v>
      </c>
      <c r="C13" s="56" t="s">
        <v>45</v>
      </c>
      <c r="D13" s="56" t="s">
        <v>477</v>
      </c>
      <c r="E13" s="56" t="s">
        <v>53</v>
      </c>
      <c r="F13" s="56" t="s">
        <v>54</v>
      </c>
      <c r="G13" s="56" t="s">
        <v>55</v>
      </c>
      <c r="H13" s="56">
        <v>195</v>
      </c>
      <c r="I13" s="56">
        <v>5486</v>
      </c>
      <c r="J13" s="65">
        <v>6.1623931623931627</v>
      </c>
    </row>
    <row r="14" spans="1:11" ht="15" customHeight="1">
      <c r="A14" s="56" t="s">
        <v>43</v>
      </c>
      <c r="B14" s="56" t="s">
        <v>44</v>
      </c>
      <c r="C14" s="56" t="s">
        <v>56</v>
      </c>
      <c r="D14" s="56" t="s">
        <v>478</v>
      </c>
      <c r="E14" s="56" t="s">
        <v>57</v>
      </c>
      <c r="F14" s="56" t="s">
        <v>58</v>
      </c>
      <c r="G14" s="56" t="s">
        <v>48</v>
      </c>
      <c r="H14" s="56">
        <v>435</v>
      </c>
      <c r="I14" s="56">
        <v>17203</v>
      </c>
      <c r="J14" s="65">
        <v>5.9176245210727965</v>
      </c>
    </row>
    <row r="15" spans="1:11" ht="15" customHeight="1">
      <c r="A15" s="56" t="s">
        <v>43</v>
      </c>
      <c r="B15" s="56" t="s">
        <v>44</v>
      </c>
      <c r="C15" s="56" t="s">
        <v>56</v>
      </c>
      <c r="D15" s="56" t="s">
        <v>478</v>
      </c>
      <c r="E15" s="56" t="s">
        <v>59</v>
      </c>
      <c r="F15" s="56" t="s">
        <v>60</v>
      </c>
      <c r="G15" s="56" t="s">
        <v>55</v>
      </c>
      <c r="H15" s="56">
        <v>906</v>
      </c>
      <c r="I15" s="56">
        <v>6545</v>
      </c>
      <c r="J15" s="65">
        <v>7.2976453274466522</v>
      </c>
    </row>
    <row r="16" spans="1:11" ht="15" customHeight="1">
      <c r="A16" s="56" t="s">
        <v>43</v>
      </c>
      <c r="B16" s="56" t="s">
        <v>44</v>
      </c>
      <c r="C16" s="56" t="s">
        <v>56</v>
      </c>
      <c r="D16" s="56" t="s">
        <v>478</v>
      </c>
      <c r="E16" s="56" t="s">
        <v>61</v>
      </c>
      <c r="F16" s="56" t="s">
        <v>62</v>
      </c>
      <c r="G16" s="56" t="s">
        <v>48</v>
      </c>
      <c r="H16" s="56">
        <v>706</v>
      </c>
      <c r="I16" s="56">
        <v>3922</v>
      </c>
      <c r="J16" s="65">
        <v>7.1683191690273835</v>
      </c>
    </row>
    <row r="17" spans="1:10" ht="15" customHeight="1">
      <c r="A17" s="56" t="s">
        <v>43</v>
      </c>
      <c r="B17" s="56" t="s">
        <v>44</v>
      </c>
      <c r="C17" s="56" t="s">
        <v>56</v>
      </c>
      <c r="D17" s="56" t="s">
        <v>478</v>
      </c>
      <c r="E17" s="56" t="s">
        <v>63</v>
      </c>
      <c r="F17" s="56" t="s">
        <v>64</v>
      </c>
      <c r="G17" s="56" t="s">
        <v>55</v>
      </c>
      <c r="H17" s="56">
        <v>616</v>
      </c>
      <c r="I17" s="56">
        <v>6702</v>
      </c>
      <c r="J17" s="65">
        <v>6.6423160173160172</v>
      </c>
    </row>
    <row r="18" spans="1:10" ht="15" customHeight="1">
      <c r="A18" s="56" t="s">
        <v>43</v>
      </c>
      <c r="B18" s="56" t="s">
        <v>44</v>
      </c>
      <c r="C18" s="56" t="s">
        <v>65</v>
      </c>
      <c r="D18" s="56" t="s">
        <v>479</v>
      </c>
      <c r="E18" s="56" t="s">
        <v>66</v>
      </c>
      <c r="F18" s="56" t="s">
        <v>67</v>
      </c>
      <c r="G18" s="56" t="s">
        <v>55</v>
      </c>
      <c r="H18" s="56">
        <v>154</v>
      </c>
      <c r="I18" s="56">
        <v>3407</v>
      </c>
      <c r="J18" s="65">
        <v>5.4437229437229444</v>
      </c>
    </row>
    <row r="19" spans="1:10" ht="15" customHeight="1">
      <c r="A19" s="56" t="s">
        <v>43</v>
      </c>
      <c r="B19" s="56" t="s">
        <v>44</v>
      </c>
      <c r="C19" s="56" t="s">
        <v>65</v>
      </c>
      <c r="D19" s="56" t="s">
        <v>479</v>
      </c>
      <c r="E19" s="56" t="s">
        <v>68</v>
      </c>
      <c r="F19" s="56" t="s">
        <v>69</v>
      </c>
      <c r="G19" s="56" t="s">
        <v>55</v>
      </c>
      <c r="H19" s="56">
        <v>444</v>
      </c>
      <c r="I19" s="56">
        <v>2293</v>
      </c>
      <c r="J19" s="65">
        <v>6.7849099099099099</v>
      </c>
    </row>
    <row r="20" spans="1:10" ht="15" customHeight="1">
      <c r="A20" s="56" t="s">
        <v>43</v>
      </c>
      <c r="B20" s="56" t="s">
        <v>44</v>
      </c>
      <c r="C20" s="56" t="s">
        <v>65</v>
      </c>
      <c r="D20" s="56" t="s">
        <v>479</v>
      </c>
      <c r="E20" s="56" t="s">
        <v>70</v>
      </c>
      <c r="F20" s="56" t="s">
        <v>71</v>
      </c>
      <c r="G20" s="56" t="s">
        <v>72</v>
      </c>
      <c r="H20" s="56">
        <v>962</v>
      </c>
      <c r="I20" s="56">
        <v>5520</v>
      </c>
      <c r="J20" s="65">
        <v>7.4566874566874564</v>
      </c>
    </row>
    <row r="21" spans="1:10" ht="15" customHeight="1">
      <c r="A21" s="56" t="s">
        <v>43</v>
      </c>
      <c r="B21" s="56" t="s">
        <v>44</v>
      </c>
      <c r="C21" s="56" t="s">
        <v>65</v>
      </c>
      <c r="D21" s="56" t="s">
        <v>479</v>
      </c>
      <c r="E21" s="56" t="s">
        <v>73</v>
      </c>
      <c r="F21" s="56" t="s">
        <v>74</v>
      </c>
      <c r="G21" s="56" t="s">
        <v>72</v>
      </c>
      <c r="H21" s="56">
        <v>31</v>
      </c>
      <c r="I21" s="56">
        <v>2283</v>
      </c>
      <c r="J21" s="65">
        <v>5.591397849462366</v>
      </c>
    </row>
    <row r="22" spans="1:10" ht="15" customHeight="1">
      <c r="A22" s="56" t="s">
        <v>43</v>
      </c>
      <c r="B22" s="56" t="s">
        <v>44</v>
      </c>
      <c r="C22" s="56" t="s">
        <v>65</v>
      </c>
      <c r="D22" s="56" t="s">
        <v>479</v>
      </c>
      <c r="E22" s="56" t="s">
        <v>75</v>
      </c>
      <c r="F22" s="56" t="s">
        <v>76</v>
      </c>
      <c r="G22" s="56" t="s">
        <v>48</v>
      </c>
      <c r="H22" s="56">
        <v>663</v>
      </c>
      <c r="I22" s="56">
        <v>3818</v>
      </c>
      <c r="J22" s="65">
        <v>6.0331825037707389</v>
      </c>
    </row>
    <row r="23" spans="1:10" ht="15" customHeight="1">
      <c r="A23" s="56" t="s">
        <v>43</v>
      </c>
      <c r="B23" s="56" t="s">
        <v>44</v>
      </c>
      <c r="C23" s="56" t="s">
        <v>65</v>
      </c>
      <c r="D23" s="56" t="s">
        <v>479</v>
      </c>
      <c r="E23" s="56" t="s">
        <v>77</v>
      </c>
      <c r="F23" s="56" t="s">
        <v>78</v>
      </c>
      <c r="G23" s="56" t="s">
        <v>48</v>
      </c>
      <c r="H23" s="56">
        <v>672</v>
      </c>
      <c r="I23" s="56">
        <v>10684</v>
      </c>
      <c r="J23" s="65">
        <v>5.9598214285714288</v>
      </c>
    </row>
    <row r="24" spans="1:10" ht="15" customHeight="1">
      <c r="A24" s="56" t="s">
        <v>43</v>
      </c>
      <c r="B24" s="56" t="s">
        <v>44</v>
      </c>
      <c r="C24" s="56" t="s">
        <v>65</v>
      </c>
      <c r="D24" s="56" t="s">
        <v>479</v>
      </c>
      <c r="E24" s="56" t="s">
        <v>79</v>
      </c>
      <c r="F24" s="56" t="s">
        <v>80</v>
      </c>
      <c r="G24" s="56" t="s">
        <v>55</v>
      </c>
      <c r="H24" s="56">
        <v>95</v>
      </c>
      <c r="I24" s="56">
        <v>767</v>
      </c>
      <c r="J24" s="65">
        <v>4.8421052631578947</v>
      </c>
    </row>
    <row r="25" spans="1:10" ht="15" customHeight="1">
      <c r="A25" s="56" t="s">
        <v>43</v>
      </c>
      <c r="B25" s="56" t="s">
        <v>44</v>
      </c>
      <c r="C25" s="56" t="s">
        <v>65</v>
      </c>
      <c r="D25" s="56" t="s">
        <v>479</v>
      </c>
      <c r="E25" s="56" t="s">
        <v>81</v>
      </c>
      <c r="F25" s="56" t="s">
        <v>82</v>
      </c>
      <c r="G25" s="56" t="s">
        <v>48</v>
      </c>
      <c r="H25" s="56">
        <v>508</v>
      </c>
      <c r="I25" s="56">
        <v>10115</v>
      </c>
      <c r="J25" s="65">
        <v>7.6804461942257216</v>
      </c>
    </row>
    <row r="26" spans="1:10" ht="15" customHeight="1">
      <c r="A26" s="56" t="s">
        <v>43</v>
      </c>
      <c r="B26" s="56" t="s">
        <v>44</v>
      </c>
      <c r="C26" s="56" t="s">
        <v>65</v>
      </c>
      <c r="D26" s="56" t="s">
        <v>479</v>
      </c>
      <c r="E26" s="56" t="s">
        <v>83</v>
      </c>
      <c r="F26" s="56" t="s">
        <v>84</v>
      </c>
      <c r="G26" s="56" t="s">
        <v>48</v>
      </c>
      <c r="H26" s="56">
        <v>688</v>
      </c>
      <c r="I26" s="56">
        <v>4464</v>
      </c>
      <c r="J26" s="65">
        <v>6.4474321705426352</v>
      </c>
    </row>
    <row r="27" spans="1:10" ht="15" customHeight="1">
      <c r="A27" s="56" t="s">
        <v>43</v>
      </c>
      <c r="B27" s="56" t="s">
        <v>44</v>
      </c>
      <c r="C27" s="56" t="s">
        <v>85</v>
      </c>
      <c r="D27" s="56" t="s">
        <v>480</v>
      </c>
      <c r="E27" s="56" t="s">
        <v>86</v>
      </c>
      <c r="F27" s="56" t="s">
        <v>87</v>
      </c>
      <c r="G27" s="56" t="s">
        <v>88</v>
      </c>
      <c r="H27" s="56">
        <v>223</v>
      </c>
      <c r="I27" s="56">
        <v>4376</v>
      </c>
      <c r="J27" s="65">
        <v>6.6031390134529149</v>
      </c>
    </row>
    <row r="28" spans="1:10" ht="15" customHeight="1">
      <c r="A28" s="56" t="s">
        <v>43</v>
      </c>
      <c r="B28" s="56" t="s">
        <v>44</v>
      </c>
      <c r="C28" s="56" t="s">
        <v>85</v>
      </c>
      <c r="D28" s="56" t="s">
        <v>480</v>
      </c>
      <c r="E28" s="56" t="s">
        <v>89</v>
      </c>
      <c r="F28" s="56" t="s">
        <v>90</v>
      </c>
      <c r="G28" s="56" t="s">
        <v>48</v>
      </c>
      <c r="H28" s="56">
        <v>91</v>
      </c>
      <c r="I28" s="56">
        <v>12988</v>
      </c>
      <c r="J28" s="65">
        <v>6.2912087912087911</v>
      </c>
    </row>
    <row r="29" spans="1:10" ht="15" customHeight="1">
      <c r="A29" s="56" t="s">
        <v>43</v>
      </c>
      <c r="B29" s="56" t="s">
        <v>44</v>
      </c>
      <c r="C29" s="56" t="s">
        <v>85</v>
      </c>
      <c r="D29" s="56" t="s">
        <v>480</v>
      </c>
      <c r="E29" s="56" t="s">
        <v>91</v>
      </c>
      <c r="F29" s="56" t="s">
        <v>92</v>
      </c>
      <c r="G29" s="56" t="s">
        <v>72</v>
      </c>
      <c r="H29" s="56">
        <v>74</v>
      </c>
      <c r="I29" s="56">
        <v>1574</v>
      </c>
      <c r="J29" s="65">
        <v>7.4774774774774784</v>
      </c>
    </row>
    <row r="30" spans="1:10" ht="15" customHeight="1">
      <c r="A30" s="56" t="s">
        <v>43</v>
      </c>
      <c r="B30" s="56" t="s">
        <v>44</v>
      </c>
      <c r="C30" s="56" t="s">
        <v>85</v>
      </c>
      <c r="D30" s="56" t="s">
        <v>480</v>
      </c>
      <c r="E30" s="56" t="s">
        <v>93</v>
      </c>
      <c r="F30" s="56" t="s">
        <v>94</v>
      </c>
      <c r="G30" s="56" t="s">
        <v>48</v>
      </c>
      <c r="H30" s="56">
        <v>62</v>
      </c>
      <c r="I30" s="56">
        <v>3572</v>
      </c>
      <c r="J30" s="65">
        <v>5.92741935483871</v>
      </c>
    </row>
    <row r="31" spans="1:10" ht="15" customHeight="1">
      <c r="A31" s="56" t="s">
        <v>43</v>
      </c>
      <c r="B31" s="56" t="s">
        <v>44</v>
      </c>
      <c r="C31" s="56" t="s">
        <v>85</v>
      </c>
      <c r="D31" s="56" t="s">
        <v>480</v>
      </c>
      <c r="E31" s="56" t="s">
        <v>95</v>
      </c>
      <c r="F31" s="56" t="s">
        <v>96</v>
      </c>
      <c r="G31" s="56" t="s">
        <v>72</v>
      </c>
      <c r="H31" s="56">
        <v>362</v>
      </c>
      <c r="I31" s="56">
        <v>4293</v>
      </c>
      <c r="J31" s="65">
        <v>7.3158379373848987</v>
      </c>
    </row>
    <row r="32" spans="1:10" ht="15" customHeight="1">
      <c r="A32" s="56" t="s">
        <v>43</v>
      </c>
      <c r="B32" s="56" t="s">
        <v>44</v>
      </c>
      <c r="C32" s="56" t="s">
        <v>97</v>
      </c>
      <c r="D32" s="56" t="s">
        <v>481</v>
      </c>
      <c r="E32" s="56" t="s">
        <v>98</v>
      </c>
      <c r="F32" s="56" t="s">
        <v>99</v>
      </c>
      <c r="G32" s="56" t="s">
        <v>48</v>
      </c>
      <c r="H32" s="56">
        <v>521</v>
      </c>
      <c r="I32" s="56">
        <v>6858</v>
      </c>
      <c r="J32" s="65">
        <v>5.8173384516954574</v>
      </c>
    </row>
    <row r="33" spans="1:11" ht="15" customHeight="1">
      <c r="A33" s="56" t="s">
        <v>43</v>
      </c>
      <c r="B33" s="56" t="s">
        <v>44</v>
      </c>
      <c r="C33" s="56" t="s">
        <v>97</v>
      </c>
      <c r="D33" s="56" t="s">
        <v>481</v>
      </c>
      <c r="E33" s="56" t="s">
        <v>100</v>
      </c>
      <c r="F33" s="56" t="s">
        <v>101</v>
      </c>
      <c r="G33" s="56" t="s">
        <v>88</v>
      </c>
      <c r="H33" s="56">
        <v>96</v>
      </c>
      <c r="I33" s="56">
        <v>1244</v>
      </c>
      <c r="J33" s="65">
        <v>7.213541666666667</v>
      </c>
    </row>
    <row r="34" spans="1:11" ht="15" customHeight="1">
      <c r="A34" s="56" t="s">
        <v>43</v>
      </c>
      <c r="B34" s="56" t="s">
        <v>44</v>
      </c>
      <c r="C34" s="56" t="s">
        <v>97</v>
      </c>
      <c r="D34" s="56" t="s">
        <v>481</v>
      </c>
      <c r="E34" s="56" t="s">
        <v>102</v>
      </c>
      <c r="F34" s="56" t="s">
        <v>103</v>
      </c>
      <c r="G34" s="56" t="s">
        <v>55</v>
      </c>
      <c r="H34" s="56">
        <v>126</v>
      </c>
      <c r="I34" s="56">
        <v>2612</v>
      </c>
      <c r="J34" s="65">
        <v>6.5740740740740744</v>
      </c>
    </row>
    <row r="35" spans="1:11" ht="15" customHeight="1">
      <c r="A35" s="56" t="s">
        <v>43</v>
      </c>
      <c r="B35" s="56" t="s">
        <v>44</v>
      </c>
      <c r="C35" s="56" t="s">
        <v>97</v>
      </c>
      <c r="D35" s="56" t="s">
        <v>481</v>
      </c>
      <c r="E35" s="56" t="s">
        <v>104</v>
      </c>
      <c r="F35" s="56" t="s">
        <v>105</v>
      </c>
      <c r="G35" s="56" t="s">
        <v>48</v>
      </c>
      <c r="H35" s="56">
        <v>901</v>
      </c>
      <c r="I35" s="56">
        <v>9298</v>
      </c>
      <c r="J35" s="65">
        <v>6.205142434332223</v>
      </c>
    </row>
    <row r="36" spans="1:11" ht="15" customHeight="1">
      <c r="A36" s="56" t="s">
        <v>106</v>
      </c>
      <c r="B36" s="56" t="s">
        <v>107</v>
      </c>
      <c r="C36" s="56" t="s">
        <v>108</v>
      </c>
      <c r="D36" s="56" t="s">
        <v>482</v>
      </c>
      <c r="E36" s="56" t="s">
        <v>109</v>
      </c>
      <c r="F36" s="56" t="s">
        <v>110</v>
      </c>
      <c r="G36" s="56" t="s">
        <v>55</v>
      </c>
      <c r="H36" s="56">
        <v>94</v>
      </c>
      <c r="I36" s="56">
        <v>3602</v>
      </c>
      <c r="J36" s="65">
        <v>6.6755319148936172</v>
      </c>
    </row>
    <row r="37" spans="1:11" ht="15" customHeight="1">
      <c r="A37" s="56" t="s">
        <v>106</v>
      </c>
      <c r="B37" s="56" t="s">
        <v>107</v>
      </c>
      <c r="C37" s="56" t="s">
        <v>108</v>
      </c>
      <c r="D37" s="56" t="s">
        <v>482</v>
      </c>
      <c r="E37" s="56" t="s">
        <v>111</v>
      </c>
      <c r="F37" s="56" t="s">
        <v>112</v>
      </c>
      <c r="G37" s="56" t="s">
        <v>48</v>
      </c>
      <c r="H37" s="56">
        <v>1336</v>
      </c>
      <c r="I37" s="56">
        <v>0</v>
      </c>
      <c r="J37" s="65">
        <v>6.8051397205588815</v>
      </c>
    </row>
    <row r="38" spans="1:11" ht="15" customHeight="1">
      <c r="A38" s="56" t="s">
        <v>106</v>
      </c>
      <c r="B38" s="56" t="s">
        <v>107</v>
      </c>
      <c r="C38" s="56" t="s">
        <v>108</v>
      </c>
      <c r="D38" s="56" t="s">
        <v>482</v>
      </c>
      <c r="E38" s="56" t="s">
        <v>113</v>
      </c>
      <c r="F38" s="56" t="s">
        <v>114</v>
      </c>
      <c r="G38" s="56" t="s">
        <v>48</v>
      </c>
      <c r="H38" s="56">
        <v>220</v>
      </c>
      <c r="I38" s="56">
        <v>6744</v>
      </c>
      <c r="J38" s="65">
        <v>5.8409090909090908</v>
      </c>
    </row>
    <row r="39" spans="1:11" ht="15" customHeight="1">
      <c r="A39" s="56" t="s">
        <v>106</v>
      </c>
      <c r="B39" s="56" t="s">
        <v>107</v>
      </c>
      <c r="C39" s="56" t="s">
        <v>108</v>
      </c>
      <c r="D39" s="56" t="s">
        <v>482</v>
      </c>
      <c r="E39" s="56" t="s">
        <v>115</v>
      </c>
      <c r="F39" s="56" t="s">
        <v>116</v>
      </c>
      <c r="G39" s="56" t="s">
        <v>48</v>
      </c>
      <c r="H39" s="56">
        <v>1324</v>
      </c>
      <c r="I39" s="56">
        <v>9376</v>
      </c>
      <c r="J39" s="65">
        <v>6.4224572004028202</v>
      </c>
    </row>
    <row r="40" spans="1:11" ht="15" customHeight="1">
      <c r="A40" s="56" t="s">
        <v>106</v>
      </c>
      <c r="B40" s="56" t="s">
        <v>107</v>
      </c>
      <c r="C40" s="56" t="s">
        <v>117</v>
      </c>
      <c r="D40" s="56" t="s">
        <v>483</v>
      </c>
      <c r="E40" s="56" t="s">
        <v>118</v>
      </c>
      <c r="F40" s="56" t="s">
        <v>119</v>
      </c>
      <c r="G40" s="56" t="s">
        <v>55</v>
      </c>
      <c r="H40" s="56">
        <v>256</v>
      </c>
      <c r="I40" s="56">
        <v>4555</v>
      </c>
      <c r="J40" s="65">
        <v>5.625</v>
      </c>
    </row>
    <row r="41" spans="1:11" ht="15" customHeight="1">
      <c r="A41" s="56" t="s">
        <v>106</v>
      </c>
      <c r="B41" s="56" t="s">
        <v>107</v>
      </c>
      <c r="C41" s="56" t="s">
        <v>117</v>
      </c>
      <c r="D41" s="56" t="s">
        <v>483</v>
      </c>
      <c r="E41" s="56" t="s">
        <v>120</v>
      </c>
      <c r="F41" s="56" t="s">
        <v>121</v>
      </c>
      <c r="G41" s="56" t="s">
        <v>48</v>
      </c>
      <c r="H41" s="56">
        <v>1252</v>
      </c>
      <c r="I41" s="56">
        <v>5305</v>
      </c>
      <c r="J41" s="65">
        <v>6.4237220447284349</v>
      </c>
    </row>
    <row r="42" spans="1:11" ht="15" customHeight="1">
      <c r="A42" s="56" t="s">
        <v>106</v>
      </c>
      <c r="B42" s="56" t="s">
        <v>107</v>
      </c>
      <c r="C42" s="56" t="s">
        <v>117</v>
      </c>
      <c r="D42" s="56" t="s">
        <v>483</v>
      </c>
      <c r="E42" s="56" t="s">
        <v>122</v>
      </c>
      <c r="F42" s="56" t="s">
        <v>123</v>
      </c>
      <c r="G42" s="56" t="s">
        <v>48</v>
      </c>
      <c r="H42" s="56">
        <v>274</v>
      </c>
      <c r="I42" s="56">
        <v>3875</v>
      </c>
      <c r="J42" s="65">
        <v>5.6082725060827254</v>
      </c>
    </row>
    <row r="43" spans="1:11" ht="15" customHeight="1">
      <c r="A43" s="56" t="s">
        <v>106</v>
      </c>
      <c r="B43" s="56" t="s">
        <v>107</v>
      </c>
      <c r="C43" s="56" t="s">
        <v>124</v>
      </c>
      <c r="D43" s="56" t="s">
        <v>484</v>
      </c>
      <c r="E43" s="56" t="s">
        <v>125</v>
      </c>
      <c r="F43" s="56" t="s">
        <v>126</v>
      </c>
      <c r="G43" s="56" t="s">
        <v>55</v>
      </c>
      <c r="H43" s="56">
        <v>69</v>
      </c>
      <c r="I43" s="56">
        <v>4513</v>
      </c>
      <c r="J43" s="65">
        <v>7.1859903381642507</v>
      </c>
    </row>
    <row r="44" spans="1:11" ht="15" customHeight="1">
      <c r="A44" s="56" t="s">
        <v>106</v>
      </c>
      <c r="B44" s="56" t="s">
        <v>107</v>
      </c>
      <c r="C44" s="56" t="s">
        <v>124</v>
      </c>
      <c r="D44" s="56" t="s">
        <v>484</v>
      </c>
      <c r="E44" s="56" t="s">
        <v>127</v>
      </c>
      <c r="F44" s="56" t="s">
        <v>128</v>
      </c>
      <c r="G44" s="56" t="s">
        <v>48</v>
      </c>
      <c r="H44" s="56">
        <v>946</v>
      </c>
      <c r="I44" s="56">
        <v>8225</v>
      </c>
      <c r="J44" s="65">
        <v>5.4536645525017624</v>
      </c>
    </row>
    <row r="45" spans="1:11" ht="15" customHeight="1">
      <c r="A45" s="56" t="s">
        <v>106</v>
      </c>
      <c r="B45" s="56" t="s">
        <v>107</v>
      </c>
      <c r="C45" s="56" t="s">
        <v>129</v>
      </c>
      <c r="D45" s="56" t="s">
        <v>485</v>
      </c>
      <c r="E45" s="56" t="s">
        <v>130</v>
      </c>
      <c r="F45" s="56" t="s">
        <v>131</v>
      </c>
      <c r="G45" s="56" t="s">
        <v>48</v>
      </c>
      <c r="H45" s="56">
        <v>634</v>
      </c>
      <c r="I45" s="56">
        <v>9671</v>
      </c>
      <c r="J45" s="65">
        <v>7.0754468980021024</v>
      </c>
    </row>
    <row r="46" spans="1:11" s="45" customFormat="1" ht="15" customHeight="1">
      <c r="A46" s="56" t="s">
        <v>106</v>
      </c>
      <c r="B46" s="56" t="s">
        <v>107</v>
      </c>
      <c r="C46" s="56" t="s">
        <v>129</v>
      </c>
      <c r="D46" s="56" t="s">
        <v>485</v>
      </c>
      <c r="E46" s="56" t="s">
        <v>132</v>
      </c>
      <c r="F46" s="56" t="s">
        <v>133</v>
      </c>
      <c r="G46" s="56" t="s">
        <v>48</v>
      </c>
      <c r="H46" s="56">
        <v>239</v>
      </c>
      <c r="I46" s="56">
        <v>2715</v>
      </c>
      <c r="J46" s="65">
        <v>6.6562064156206411</v>
      </c>
      <c r="K46" s="12"/>
    </row>
    <row r="47" spans="1:11" s="45" customFormat="1" ht="15" customHeight="1">
      <c r="A47" s="56" t="s">
        <v>106</v>
      </c>
      <c r="B47" s="56" t="s">
        <v>107</v>
      </c>
      <c r="C47" s="56" t="s">
        <v>134</v>
      </c>
      <c r="D47" s="56" t="s">
        <v>486</v>
      </c>
      <c r="E47" s="56" t="s">
        <v>135</v>
      </c>
      <c r="F47" s="56" t="s">
        <v>136</v>
      </c>
      <c r="G47" s="56" t="s">
        <v>55</v>
      </c>
      <c r="H47" s="56">
        <v>16</v>
      </c>
      <c r="I47" s="56">
        <v>4113</v>
      </c>
      <c r="J47" s="65">
        <v>5.9375</v>
      </c>
      <c r="K47" s="12"/>
    </row>
    <row r="48" spans="1:11" s="45" customFormat="1" ht="15" customHeight="1">
      <c r="A48" s="56" t="s">
        <v>106</v>
      </c>
      <c r="B48" s="56" t="s">
        <v>107</v>
      </c>
      <c r="C48" s="56" t="s">
        <v>134</v>
      </c>
      <c r="D48" s="56" t="s">
        <v>486</v>
      </c>
      <c r="E48" s="56" t="s">
        <v>137</v>
      </c>
      <c r="F48" s="56" t="s">
        <v>138</v>
      </c>
      <c r="G48" s="56" t="s">
        <v>48</v>
      </c>
      <c r="H48" s="56">
        <v>783</v>
      </c>
      <c r="I48" s="56">
        <v>6833</v>
      </c>
      <c r="J48" s="65">
        <v>6.1089825457641549</v>
      </c>
      <c r="K48" s="12"/>
    </row>
    <row r="49" spans="1:11" s="45" customFormat="1" ht="15" customHeight="1">
      <c r="A49" s="56" t="s">
        <v>106</v>
      </c>
      <c r="B49" s="56" t="s">
        <v>107</v>
      </c>
      <c r="C49" s="56" t="s">
        <v>139</v>
      </c>
      <c r="D49" s="56" t="s">
        <v>487</v>
      </c>
      <c r="E49" s="56" t="s">
        <v>140</v>
      </c>
      <c r="F49" s="56" t="s">
        <v>141</v>
      </c>
      <c r="G49" s="56" t="s">
        <v>48</v>
      </c>
      <c r="H49" s="56">
        <v>302</v>
      </c>
      <c r="I49" s="56">
        <v>9308</v>
      </c>
      <c r="J49" s="65">
        <v>6.6859823399558502</v>
      </c>
      <c r="K49" s="12"/>
    </row>
    <row r="50" spans="1:11" s="45" customFormat="1" ht="15" customHeight="1">
      <c r="A50" s="56" t="s">
        <v>106</v>
      </c>
      <c r="B50" s="56" t="s">
        <v>107</v>
      </c>
      <c r="C50" s="56" t="s">
        <v>139</v>
      </c>
      <c r="D50" s="56" t="s">
        <v>487</v>
      </c>
      <c r="E50" s="56" t="s">
        <v>142</v>
      </c>
      <c r="F50" s="56" t="s">
        <v>143</v>
      </c>
      <c r="G50" s="56" t="s">
        <v>48</v>
      </c>
      <c r="H50" s="56">
        <v>1212</v>
      </c>
      <c r="I50" s="56">
        <v>11560</v>
      </c>
      <c r="J50" s="65">
        <v>7.0221397139713977</v>
      </c>
      <c r="K50" s="12"/>
    </row>
    <row r="51" spans="1:11" s="45" customFormat="1" ht="15" customHeight="1">
      <c r="A51" s="56" t="s">
        <v>106</v>
      </c>
      <c r="B51" s="56" t="s">
        <v>107</v>
      </c>
      <c r="C51" s="56" t="s">
        <v>144</v>
      </c>
      <c r="D51" s="56" t="s">
        <v>488</v>
      </c>
      <c r="E51" s="56" t="s">
        <v>145</v>
      </c>
      <c r="F51" s="56" t="s">
        <v>146</v>
      </c>
      <c r="G51" s="56" t="s">
        <v>48</v>
      </c>
      <c r="H51" s="56">
        <v>476</v>
      </c>
      <c r="I51" s="56">
        <v>3212</v>
      </c>
      <c r="J51" s="65">
        <v>6.6999299719887953</v>
      </c>
      <c r="K51" s="12"/>
    </row>
    <row r="52" spans="1:11" s="45" customFormat="1" ht="15" customHeight="1">
      <c r="A52" s="56" t="s">
        <v>106</v>
      </c>
      <c r="B52" s="56" t="s">
        <v>107</v>
      </c>
      <c r="C52" s="56" t="s">
        <v>144</v>
      </c>
      <c r="D52" s="56" t="s">
        <v>488</v>
      </c>
      <c r="E52" s="56" t="s">
        <v>147</v>
      </c>
      <c r="F52" s="56" t="s">
        <v>148</v>
      </c>
      <c r="G52" s="56" t="s">
        <v>55</v>
      </c>
      <c r="H52" s="56">
        <v>1074</v>
      </c>
      <c r="I52" s="56">
        <v>6427</v>
      </c>
      <c r="J52" s="65">
        <v>6.8234016139044069</v>
      </c>
      <c r="K52" s="12"/>
    </row>
    <row r="53" spans="1:11" s="45" customFormat="1" ht="15" customHeight="1">
      <c r="A53" s="56" t="s">
        <v>106</v>
      </c>
      <c r="B53" s="56" t="s">
        <v>107</v>
      </c>
      <c r="C53" s="56" t="s">
        <v>144</v>
      </c>
      <c r="D53" s="56" t="s">
        <v>488</v>
      </c>
      <c r="E53" s="56" t="s">
        <v>149</v>
      </c>
      <c r="F53" s="56" t="s">
        <v>150</v>
      </c>
      <c r="G53" s="56" t="s">
        <v>48</v>
      </c>
      <c r="H53" s="56">
        <v>179</v>
      </c>
      <c r="I53" s="56">
        <v>9217</v>
      </c>
      <c r="J53" s="65">
        <v>5.7076350093109864</v>
      </c>
      <c r="K53" s="12"/>
    </row>
    <row r="54" spans="1:11">
      <c r="A54" s="56" t="s">
        <v>151</v>
      </c>
      <c r="B54" s="56" t="s">
        <v>152</v>
      </c>
      <c r="C54" s="56" t="s">
        <v>153</v>
      </c>
      <c r="D54" s="56" t="s">
        <v>489</v>
      </c>
      <c r="E54" s="56" t="s">
        <v>154</v>
      </c>
      <c r="F54" s="56" t="s">
        <v>155</v>
      </c>
      <c r="G54" s="56" t="s">
        <v>48</v>
      </c>
      <c r="H54" s="56">
        <v>230</v>
      </c>
      <c r="I54" s="56">
        <v>3966</v>
      </c>
      <c r="J54" s="65">
        <v>6.7572463768115947</v>
      </c>
    </row>
    <row r="55" spans="1:11">
      <c r="A55" s="56" t="s">
        <v>151</v>
      </c>
      <c r="B55" s="56" t="s">
        <v>152</v>
      </c>
      <c r="C55" s="56" t="s">
        <v>153</v>
      </c>
      <c r="D55" s="56" t="s">
        <v>489</v>
      </c>
      <c r="E55" s="56" t="s">
        <v>156</v>
      </c>
      <c r="F55" s="56" t="s">
        <v>157</v>
      </c>
      <c r="G55" s="56" t="s">
        <v>48</v>
      </c>
      <c r="H55" s="56">
        <v>2456</v>
      </c>
      <c r="I55" s="56">
        <v>10356</v>
      </c>
      <c r="J55" s="65">
        <v>5.9602334419109662</v>
      </c>
    </row>
    <row r="56" spans="1:11">
      <c r="A56" s="56" t="s">
        <v>151</v>
      </c>
      <c r="B56" s="56" t="s">
        <v>152</v>
      </c>
      <c r="C56" s="56" t="s">
        <v>153</v>
      </c>
      <c r="D56" s="56" t="s">
        <v>489</v>
      </c>
      <c r="E56" s="56" t="s">
        <v>158</v>
      </c>
      <c r="F56" s="56" t="s">
        <v>159</v>
      </c>
      <c r="G56" s="56" t="s">
        <v>55</v>
      </c>
      <c r="H56" s="56">
        <v>174</v>
      </c>
      <c r="I56" s="56">
        <v>3451</v>
      </c>
      <c r="J56" s="65">
        <v>6.1829501915708809</v>
      </c>
    </row>
    <row r="57" spans="1:11">
      <c r="A57" s="56" t="s">
        <v>151</v>
      </c>
      <c r="B57" s="56" t="s">
        <v>152</v>
      </c>
      <c r="C57" s="56" t="s">
        <v>153</v>
      </c>
      <c r="D57" s="56" t="s">
        <v>489</v>
      </c>
      <c r="E57" s="56" t="s">
        <v>160</v>
      </c>
      <c r="F57" s="56" t="s">
        <v>161</v>
      </c>
      <c r="G57" s="56" t="s">
        <v>88</v>
      </c>
      <c r="H57" s="56">
        <v>820</v>
      </c>
      <c r="I57" s="56">
        <v>4913</v>
      </c>
      <c r="J57" s="65">
        <v>6.8638211382113816</v>
      </c>
    </row>
    <row r="58" spans="1:11">
      <c r="A58" s="56" t="s">
        <v>151</v>
      </c>
      <c r="B58" s="56" t="s">
        <v>152</v>
      </c>
      <c r="C58" s="56" t="s">
        <v>153</v>
      </c>
      <c r="D58" s="56" t="s">
        <v>489</v>
      </c>
      <c r="E58" s="56" t="s">
        <v>162</v>
      </c>
      <c r="F58" s="56" t="s">
        <v>163</v>
      </c>
      <c r="G58" s="56" t="s">
        <v>48</v>
      </c>
      <c r="H58" s="56">
        <v>1039</v>
      </c>
      <c r="I58" s="56">
        <v>6709</v>
      </c>
      <c r="J58" s="65">
        <v>7.1703561116458134</v>
      </c>
    </row>
    <row r="59" spans="1:11">
      <c r="A59" s="56" t="s">
        <v>151</v>
      </c>
      <c r="B59" s="56" t="s">
        <v>152</v>
      </c>
      <c r="C59" s="56" t="s">
        <v>153</v>
      </c>
      <c r="D59" s="56" t="s">
        <v>489</v>
      </c>
      <c r="E59" s="56" t="s">
        <v>164</v>
      </c>
      <c r="F59" s="56" t="s">
        <v>165</v>
      </c>
      <c r="G59" s="56" t="s">
        <v>48</v>
      </c>
      <c r="H59" s="56">
        <v>41</v>
      </c>
      <c r="I59" s="56">
        <v>4620</v>
      </c>
      <c r="J59" s="65">
        <v>5.0609756097560972</v>
      </c>
    </row>
    <row r="60" spans="1:11">
      <c r="A60" s="56" t="s">
        <v>151</v>
      </c>
      <c r="B60" s="56" t="s">
        <v>152</v>
      </c>
      <c r="C60" s="56" t="s">
        <v>166</v>
      </c>
      <c r="D60" s="56" t="s">
        <v>490</v>
      </c>
      <c r="E60" s="56" t="s">
        <v>167</v>
      </c>
      <c r="F60" s="56" t="s">
        <v>168</v>
      </c>
      <c r="G60" s="56" t="s">
        <v>55</v>
      </c>
      <c r="H60" s="56">
        <v>1527</v>
      </c>
      <c r="I60" s="56">
        <v>4670</v>
      </c>
      <c r="J60" s="65">
        <v>7.5594848286400351</v>
      </c>
    </row>
    <row r="61" spans="1:11">
      <c r="A61" s="56" t="s">
        <v>151</v>
      </c>
      <c r="B61" s="56" t="s">
        <v>152</v>
      </c>
      <c r="C61" s="56" t="s">
        <v>166</v>
      </c>
      <c r="D61" s="56" t="s">
        <v>490</v>
      </c>
      <c r="E61" s="56" t="s">
        <v>169</v>
      </c>
      <c r="F61" s="56" t="s">
        <v>170</v>
      </c>
      <c r="G61" s="56" t="s">
        <v>48</v>
      </c>
      <c r="H61" s="56">
        <v>1499</v>
      </c>
      <c r="I61" s="56">
        <v>9971</v>
      </c>
      <c r="J61" s="65">
        <v>6.7094729819879921</v>
      </c>
    </row>
    <row r="62" spans="1:11">
      <c r="A62" s="56" t="s">
        <v>151</v>
      </c>
      <c r="B62" s="56" t="s">
        <v>152</v>
      </c>
      <c r="C62" s="56" t="s">
        <v>171</v>
      </c>
      <c r="D62" s="56" t="s">
        <v>491</v>
      </c>
      <c r="E62" s="56" t="s">
        <v>172</v>
      </c>
      <c r="F62" s="56" t="s">
        <v>173</v>
      </c>
      <c r="G62" s="56" t="s">
        <v>48</v>
      </c>
      <c r="H62" s="56">
        <v>301</v>
      </c>
      <c r="I62" s="56">
        <v>7875</v>
      </c>
      <c r="J62" s="65">
        <v>6.1074197120708744</v>
      </c>
    </row>
    <row r="63" spans="1:11">
      <c r="A63" s="56" t="s">
        <v>151</v>
      </c>
      <c r="B63" s="56" t="s">
        <v>152</v>
      </c>
      <c r="C63" s="56" t="s">
        <v>171</v>
      </c>
      <c r="D63" s="56" t="s">
        <v>491</v>
      </c>
      <c r="E63" s="56" t="s">
        <v>174</v>
      </c>
      <c r="F63" s="56" t="s">
        <v>175</v>
      </c>
      <c r="G63" s="56" t="s">
        <v>72</v>
      </c>
      <c r="H63" s="56">
        <v>159</v>
      </c>
      <c r="I63" s="56">
        <v>1074</v>
      </c>
      <c r="J63" s="65">
        <v>7.8144654088050318</v>
      </c>
    </row>
    <row r="64" spans="1:11">
      <c r="A64" s="56" t="s">
        <v>151</v>
      </c>
      <c r="B64" s="56" t="s">
        <v>152</v>
      </c>
      <c r="C64" s="56" t="s">
        <v>171</v>
      </c>
      <c r="D64" s="56" t="s">
        <v>491</v>
      </c>
      <c r="E64" s="56" t="s">
        <v>176</v>
      </c>
      <c r="F64" s="56" t="s">
        <v>177</v>
      </c>
      <c r="G64" s="56" t="s">
        <v>178</v>
      </c>
      <c r="H64" s="56">
        <v>111</v>
      </c>
      <c r="I64" s="56">
        <v>4198</v>
      </c>
      <c r="J64" s="65">
        <v>4.1441441441441444</v>
      </c>
    </row>
    <row r="65" spans="1:10">
      <c r="A65" s="56" t="s">
        <v>151</v>
      </c>
      <c r="B65" s="56" t="s">
        <v>152</v>
      </c>
      <c r="C65" s="56" t="s">
        <v>171</v>
      </c>
      <c r="D65" s="56" t="s">
        <v>491</v>
      </c>
      <c r="E65" s="56" t="s">
        <v>179</v>
      </c>
      <c r="F65" s="56" t="s">
        <v>180</v>
      </c>
      <c r="G65" s="56" t="s">
        <v>88</v>
      </c>
      <c r="H65" s="56">
        <v>90</v>
      </c>
      <c r="I65" s="56">
        <v>5318</v>
      </c>
      <c r="J65" s="65">
        <v>6.9907407407407405</v>
      </c>
    </row>
    <row r="66" spans="1:10">
      <c r="A66" s="56" t="s">
        <v>151</v>
      </c>
      <c r="B66" s="56" t="s">
        <v>152</v>
      </c>
      <c r="C66" s="56" t="s">
        <v>171</v>
      </c>
      <c r="D66" s="56" t="s">
        <v>491</v>
      </c>
      <c r="E66" s="56" t="s">
        <v>181</v>
      </c>
      <c r="F66" s="56" t="s">
        <v>182</v>
      </c>
      <c r="G66" s="56" t="s">
        <v>55</v>
      </c>
      <c r="H66" s="56">
        <v>187</v>
      </c>
      <c r="I66" s="56">
        <v>5533</v>
      </c>
      <c r="J66" s="65">
        <v>6.0427807486631018</v>
      </c>
    </row>
    <row r="67" spans="1:10">
      <c r="A67" s="56" t="s">
        <v>151</v>
      </c>
      <c r="B67" s="56" t="s">
        <v>152</v>
      </c>
      <c r="C67" s="56" t="s">
        <v>171</v>
      </c>
      <c r="D67" s="56" t="s">
        <v>491</v>
      </c>
      <c r="E67" s="56" t="s">
        <v>183</v>
      </c>
      <c r="F67" s="56" t="s">
        <v>184</v>
      </c>
      <c r="G67" s="56" t="s">
        <v>48</v>
      </c>
      <c r="H67" s="56">
        <v>220</v>
      </c>
      <c r="I67" s="56">
        <v>16095</v>
      </c>
      <c r="J67" s="65">
        <v>4.8598484848484853</v>
      </c>
    </row>
    <row r="68" spans="1:10">
      <c r="A68" s="56" t="s">
        <v>151</v>
      </c>
      <c r="B68" s="56" t="s">
        <v>152</v>
      </c>
      <c r="C68" s="56" t="s">
        <v>185</v>
      </c>
      <c r="D68" s="56" t="s">
        <v>492</v>
      </c>
      <c r="E68" s="56" t="s">
        <v>186</v>
      </c>
      <c r="F68" s="56" t="s">
        <v>187</v>
      </c>
      <c r="G68" s="56" t="s">
        <v>48</v>
      </c>
      <c r="H68" s="56">
        <v>816</v>
      </c>
      <c r="I68" s="56">
        <v>7394</v>
      </c>
      <c r="J68" s="65">
        <v>6.2571486928104569</v>
      </c>
    </row>
    <row r="69" spans="1:10">
      <c r="A69" s="56" t="s">
        <v>151</v>
      </c>
      <c r="B69" s="56" t="s">
        <v>152</v>
      </c>
      <c r="C69" s="56" t="s">
        <v>185</v>
      </c>
      <c r="D69" s="56" t="s">
        <v>492</v>
      </c>
      <c r="E69" s="56" t="s">
        <v>188</v>
      </c>
      <c r="F69" s="56" t="s">
        <v>189</v>
      </c>
      <c r="G69" s="56" t="s">
        <v>48</v>
      </c>
      <c r="H69" s="56">
        <v>483</v>
      </c>
      <c r="I69" s="56">
        <v>3620</v>
      </c>
      <c r="J69" s="65">
        <v>6.3267770876466534</v>
      </c>
    </row>
    <row r="70" spans="1:10">
      <c r="A70" s="56" t="s">
        <v>151</v>
      </c>
      <c r="B70" s="56" t="s">
        <v>152</v>
      </c>
      <c r="C70" s="56" t="s">
        <v>185</v>
      </c>
      <c r="D70" s="56" t="s">
        <v>492</v>
      </c>
      <c r="E70" s="56" t="s">
        <v>190</v>
      </c>
      <c r="F70" s="56" t="s">
        <v>191</v>
      </c>
      <c r="G70" s="56" t="s">
        <v>48</v>
      </c>
      <c r="H70" s="56">
        <v>1032</v>
      </c>
      <c r="I70" s="56">
        <v>7994</v>
      </c>
      <c r="J70" s="65">
        <v>6.4316860465116283</v>
      </c>
    </row>
    <row r="71" spans="1:10">
      <c r="A71" s="56" t="s">
        <v>151</v>
      </c>
      <c r="B71" s="56" t="s">
        <v>152</v>
      </c>
      <c r="C71" s="56" t="s">
        <v>185</v>
      </c>
      <c r="D71" s="56" t="s">
        <v>492</v>
      </c>
      <c r="E71" s="56" t="s">
        <v>192</v>
      </c>
      <c r="F71" s="56" t="s">
        <v>193</v>
      </c>
      <c r="G71" s="56" t="s">
        <v>55</v>
      </c>
      <c r="H71" s="56">
        <v>429</v>
      </c>
      <c r="I71" s="56">
        <v>4041</v>
      </c>
      <c r="J71" s="65">
        <v>7.4883449883449886</v>
      </c>
    </row>
    <row r="72" spans="1:10">
      <c r="A72" s="56" t="s">
        <v>151</v>
      </c>
      <c r="B72" s="56" t="s">
        <v>152</v>
      </c>
      <c r="C72" s="56" t="s">
        <v>185</v>
      </c>
      <c r="D72" s="56" t="s">
        <v>492</v>
      </c>
      <c r="E72" s="56" t="s">
        <v>194</v>
      </c>
      <c r="F72" s="56" t="s">
        <v>195</v>
      </c>
      <c r="G72" s="56" t="s">
        <v>55</v>
      </c>
      <c r="H72" s="56">
        <v>1875</v>
      </c>
      <c r="I72" s="56">
        <v>6321</v>
      </c>
      <c r="J72" s="65">
        <v>6.7493333333333334</v>
      </c>
    </row>
    <row r="73" spans="1:10">
      <c r="A73" s="56" t="s">
        <v>151</v>
      </c>
      <c r="B73" s="56" t="s">
        <v>152</v>
      </c>
      <c r="C73" s="56" t="s">
        <v>185</v>
      </c>
      <c r="D73" s="56" t="s">
        <v>492</v>
      </c>
      <c r="E73" s="56" t="s">
        <v>196</v>
      </c>
      <c r="F73" s="56" t="s">
        <v>197</v>
      </c>
      <c r="G73" s="56" t="s">
        <v>48</v>
      </c>
      <c r="H73" s="56">
        <v>2809</v>
      </c>
      <c r="I73" s="56">
        <v>12425</v>
      </c>
      <c r="J73" s="65">
        <v>7.5175032633202807</v>
      </c>
    </row>
    <row r="74" spans="1:10">
      <c r="A74" s="56" t="s">
        <v>151</v>
      </c>
      <c r="B74" s="56" t="s">
        <v>152</v>
      </c>
      <c r="C74" s="56" t="s">
        <v>198</v>
      </c>
      <c r="D74" s="56" t="s">
        <v>493</v>
      </c>
      <c r="E74" s="56" t="s">
        <v>199</v>
      </c>
      <c r="F74" s="56" t="s">
        <v>200</v>
      </c>
      <c r="G74" s="56" t="s">
        <v>48</v>
      </c>
      <c r="H74" s="56">
        <v>705</v>
      </c>
      <c r="I74" s="56">
        <v>6239</v>
      </c>
      <c r="J74" s="65">
        <v>6.6359338061465714</v>
      </c>
    </row>
    <row r="75" spans="1:10">
      <c r="A75" s="56" t="s">
        <v>151</v>
      </c>
      <c r="B75" s="56" t="s">
        <v>152</v>
      </c>
      <c r="C75" s="56" t="s">
        <v>198</v>
      </c>
      <c r="D75" s="56" t="s">
        <v>493</v>
      </c>
      <c r="E75" s="56" t="s">
        <v>201</v>
      </c>
      <c r="F75" s="56" t="s">
        <v>202</v>
      </c>
      <c r="G75" s="56" t="s">
        <v>55</v>
      </c>
      <c r="H75" s="56">
        <v>1002</v>
      </c>
      <c r="I75" s="56">
        <v>6072</v>
      </c>
      <c r="J75" s="65">
        <v>6.8055555555555562</v>
      </c>
    </row>
    <row r="76" spans="1:10">
      <c r="A76" s="56" t="s">
        <v>151</v>
      </c>
      <c r="B76" s="56" t="s">
        <v>152</v>
      </c>
      <c r="C76" s="56" t="s">
        <v>198</v>
      </c>
      <c r="D76" s="56" t="s">
        <v>493</v>
      </c>
      <c r="E76" s="56" t="s">
        <v>203</v>
      </c>
      <c r="F76" s="56" t="s">
        <v>204</v>
      </c>
      <c r="G76" s="56" t="s">
        <v>48</v>
      </c>
      <c r="H76" s="56">
        <v>2220</v>
      </c>
      <c r="I76" s="56">
        <v>13438</v>
      </c>
      <c r="J76" s="65">
        <v>6.9527027027027026</v>
      </c>
    </row>
    <row r="77" spans="1:10">
      <c r="A77" s="56" t="s">
        <v>151</v>
      </c>
      <c r="B77" s="56" t="s">
        <v>152</v>
      </c>
      <c r="C77" s="56" t="s">
        <v>198</v>
      </c>
      <c r="D77" s="56" t="s">
        <v>493</v>
      </c>
      <c r="E77" s="56" t="s">
        <v>205</v>
      </c>
      <c r="F77" s="56" t="s">
        <v>206</v>
      </c>
      <c r="G77" s="56" t="s">
        <v>48</v>
      </c>
      <c r="H77" s="56">
        <v>143</v>
      </c>
      <c r="I77" s="56">
        <v>5899</v>
      </c>
      <c r="J77" s="65">
        <v>6.596736596736597</v>
      </c>
    </row>
    <row r="78" spans="1:10">
      <c r="A78" s="56" t="s">
        <v>151</v>
      </c>
      <c r="B78" s="56" t="s">
        <v>152</v>
      </c>
      <c r="C78" s="56" t="s">
        <v>198</v>
      </c>
      <c r="D78" s="56" t="s">
        <v>493</v>
      </c>
      <c r="E78" s="56" t="s">
        <v>207</v>
      </c>
      <c r="F78" s="56" t="s">
        <v>208</v>
      </c>
      <c r="G78" s="56" t="s">
        <v>178</v>
      </c>
      <c r="H78" s="56">
        <v>277</v>
      </c>
      <c r="I78" s="56">
        <v>4516</v>
      </c>
      <c r="J78" s="65">
        <v>5.5655836341756926</v>
      </c>
    </row>
    <row r="79" spans="1:10">
      <c r="A79" s="56" t="s">
        <v>209</v>
      </c>
      <c r="B79" s="56" t="s">
        <v>210</v>
      </c>
      <c r="C79" s="56" t="s">
        <v>211</v>
      </c>
      <c r="D79" s="56" t="s">
        <v>494</v>
      </c>
      <c r="E79" s="56" t="s">
        <v>212</v>
      </c>
      <c r="F79" s="56" t="s">
        <v>213</v>
      </c>
      <c r="G79" s="56" t="s">
        <v>55</v>
      </c>
      <c r="H79" s="56">
        <v>373</v>
      </c>
      <c r="I79" s="56">
        <v>4434</v>
      </c>
      <c r="J79" s="65">
        <v>6.588471849865952</v>
      </c>
    </row>
    <row r="80" spans="1:10">
      <c r="A80" s="56" t="s">
        <v>209</v>
      </c>
      <c r="B80" s="56" t="s">
        <v>210</v>
      </c>
      <c r="C80" s="56" t="s">
        <v>211</v>
      </c>
      <c r="D80" s="56" t="s">
        <v>494</v>
      </c>
      <c r="E80" s="56" t="s">
        <v>214</v>
      </c>
      <c r="F80" s="56" t="s">
        <v>215</v>
      </c>
      <c r="G80" s="56" t="s">
        <v>48</v>
      </c>
      <c r="H80" s="56">
        <v>259</v>
      </c>
      <c r="I80" s="56">
        <v>6633</v>
      </c>
      <c r="J80" s="65">
        <v>5.9845559845559846</v>
      </c>
    </row>
    <row r="81" spans="1:10">
      <c r="A81" s="56" t="s">
        <v>209</v>
      </c>
      <c r="B81" s="56" t="s">
        <v>210</v>
      </c>
      <c r="C81" s="56" t="s">
        <v>211</v>
      </c>
      <c r="D81" s="56" t="s">
        <v>494</v>
      </c>
      <c r="E81" s="56" t="s">
        <v>216</v>
      </c>
      <c r="F81" s="56" t="s">
        <v>217</v>
      </c>
      <c r="G81" s="56" t="s">
        <v>48</v>
      </c>
      <c r="H81" s="56">
        <v>474</v>
      </c>
      <c r="I81" s="56">
        <v>3642</v>
      </c>
      <c r="J81" s="65">
        <v>6.1040787623066111</v>
      </c>
    </row>
    <row r="82" spans="1:10">
      <c r="A82" s="56" t="s">
        <v>209</v>
      </c>
      <c r="B82" s="56" t="s">
        <v>210</v>
      </c>
      <c r="C82" s="56" t="s">
        <v>218</v>
      </c>
      <c r="D82" s="56" t="s">
        <v>495</v>
      </c>
      <c r="E82" s="56" t="s">
        <v>219</v>
      </c>
      <c r="F82" s="56" t="s">
        <v>220</v>
      </c>
      <c r="G82" s="56" t="s">
        <v>88</v>
      </c>
      <c r="H82" s="56">
        <v>620</v>
      </c>
      <c r="I82" s="56">
        <v>4888</v>
      </c>
      <c r="J82" s="65">
        <v>6.278225806451613</v>
      </c>
    </row>
    <row r="83" spans="1:10">
      <c r="A83" s="56" t="s">
        <v>209</v>
      </c>
      <c r="B83" s="56" t="s">
        <v>210</v>
      </c>
      <c r="C83" s="56" t="s">
        <v>218</v>
      </c>
      <c r="D83" s="56" t="s">
        <v>495</v>
      </c>
      <c r="E83" s="56" t="s">
        <v>221</v>
      </c>
      <c r="F83" s="56" t="s">
        <v>222</v>
      </c>
      <c r="G83" s="56" t="s">
        <v>72</v>
      </c>
      <c r="H83" s="56">
        <v>415</v>
      </c>
      <c r="I83" s="56">
        <v>1218</v>
      </c>
      <c r="J83" s="65">
        <v>7.6345381526104426</v>
      </c>
    </row>
    <row r="84" spans="1:10">
      <c r="A84" s="56" t="s">
        <v>209</v>
      </c>
      <c r="B84" s="56" t="s">
        <v>210</v>
      </c>
      <c r="C84" s="56" t="s">
        <v>218</v>
      </c>
      <c r="D84" s="56" t="s">
        <v>495</v>
      </c>
      <c r="E84" s="56" t="s">
        <v>223</v>
      </c>
      <c r="F84" s="56" t="s">
        <v>224</v>
      </c>
      <c r="G84" s="56" t="s">
        <v>48</v>
      </c>
      <c r="H84" s="56">
        <v>1907</v>
      </c>
      <c r="I84" s="56">
        <v>21568</v>
      </c>
      <c r="J84" s="65">
        <v>5.5943016955077791</v>
      </c>
    </row>
    <row r="85" spans="1:10">
      <c r="A85" s="56" t="s">
        <v>209</v>
      </c>
      <c r="B85" s="56" t="s">
        <v>210</v>
      </c>
      <c r="C85" s="56" t="s">
        <v>225</v>
      </c>
      <c r="D85" s="56" t="s">
        <v>496</v>
      </c>
      <c r="E85" s="56" t="s">
        <v>226</v>
      </c>
      <c r="F85" s="56" t="s">
        <v>227</v>
      </c>
      <c r="G85" s="56" t="s">
        <v>48</v>
      </c>
      <c r="H85" s="56">
        <v>44</v>
      </c>
      <c r="I85" s="56">
        <v>3968</v>
      </c>
      <c r="J85" s="65">
        <v>6.7613636363636367</v>
      </c>
    </row>
    <row r="86" spans="1:10">
      <c r="A86" s="56" t="s">
        <v>209</v>
      </c>
      <c r="B86" s="56" t="s">
        <v>210</v>
      </c>
      <c r="C86" s="56" t="s">
        <v>225</v>
      </c>
      <c r="D86" s="56" t="s">
        <v>496</v>
      </c>
      <c r="E86" s="56" t="s">
        <v>228</v>
      </c>
      <c r="F86" s="56" t="s">
        <v>229</v>
      </c>
      <c r="G86" s="56" t="s">
        <v>88</v>
      </c>
      <c r="H86" s="56">
        <v>1433</v>
      </c>
      <c r="I86" s="56">
        <v>4235</v>
      </c>
      <c r="J86" s="65">
        <v>7.8053035589672017</v>
      </c>
    </row>
    <row r="87" spans="1:10">
      <c r="A87" s="56" t="s">
        <v>209</v>
      </c>
      <c r="B87" s="56" t="s">
        <v>210</v>
      </c>
      <c r="C87" s="56" t="s">
        <v>225</v>
      </c>
      <c r="D87" s="56" t="s">
        <v>496</v>
      </c>
      <c r="E87" s="56" t="s">
        <v>230</v>
      </c>
      <c r="F87" s="56" t="s">
        <v>231</v>
      </c>
      <c r="G87" s="56" t="s">
        <v>55</v>
      </c>
      <c r="H87" s="56">
        <v>832</v>
      </c>
      <c r="I87" s="56">
        <v>2839</v>
      </c>
      <c r="J87" s="65">
        <v>7.3657852564102564</v>
      </c>
    </row>
    <row r="88" spans="1:10">
      <c r="A88" s="56" t="s">
        <v>209</v>
      </c>
      <c r="B88" s="56" t="s">
        <v>210</v>
      </c>
      <c r="C88" s="56" t="s">
        <v>225</v>
      </c>
      <c r="D88" s="56" t="s">
        <v>496</v>
      </c>
      <c r="E88" s="56" t="s">
        <v>232</v>
      </c>
      <c r="F88" s="56" t="s">
        <v>233</v>
      </c>
      <c r="G88" s="56" t="s">
        <v>48</v>
      </c>
      <c r="H88" s="56">
        <v>1894</v>
      </c>
      <c r="I88" s="56">
        <v>13473</v>
      </c>
      <c r="J88" s="65">
        <v>6.6341077085533264</v>
      </c>
    </row>
    <row r="89" spans="1:10">
      <c r="A89" s="56" t="s">
        <v>209</v>
      </c>
      <c r="B89" s="56" t="s">
        <v>210</v>
      </c>
      <c r="C89" s="56" t="s">
        <v>234</v>
      </c>
      <c r="D89" s="56" t="s">
        <v>497</v>
      </c>
      <c r="E89" s="56" t="s">
        <v>235</v>
      </c>
      <c r="F89" s="56" t="s">
        <v>236</v>
      </c>
      <c r="G89" s="56" t="s">
        <v>88</v>
      </c>
      <c r="H89" s="56">
        <v>809</v>
      </c>
      <c r="I89" s="56">
        <v>2245</v>
      </c>
      <c r="J89" s="65">
        <v>7.4248042851256697</v>
      </c>
    </row>
    <row r="90" spans="1:10">
      <c r="A90" s="56" t="s">
        <v>209</v>
      </c>
      <c r="B90" s="56" t="s">
        <v>210</v>
      </c>
      <c r="C90" s="56" t="s">
        <v>234</v>
      </c>
      <c r="D90" s="56" t="s">
        <v>497</v>
      </c>
      <c r="E90" s="56" t="s">
        <v>237</v>
      </c>
      <c r="F90" s="56" t="s">
        <v>238</v>
      </c>
      <c r="G90" s="56" t="s">
        <v>55</v>
      </c>
      <c r="H90" s="56">
        <v>844</v>
      </c>
      <c r="I90" s="56">
        <v>2351</v>
      </c>
      <c r="J90" s="65">
        <v>7.368680884676146</v>
      </c>
    </row>
    <row r="91" spans="1:10">
      <c r="A91" s="56" t="s">
        <v>209</v>
      </c>
      <c r="B91" s="56" t="s">
        <v>210</v>
      </c>
      <c r="C91" s="56" t="s">
        <v>234</v>
      </c>
      <c r="D91" s="56" t="s">
        <v>497</v>
      </c>
      <c r="E91" s="56" t="s">
        <v>239</v>
      </c>
      <c r="F91" s="56" t="s">
        <v>240</v>
      </c>
      <c r="G91" s="56" t="s">
        <v>48</v>
      </c>
      <c r="H91" s="56">
        <v>2141</v>
      </c>
      <c r="I91" s="56">
        <v>8389</v>
      </c>
      <c r="J91" s="65">
        <v>6.0956718044527483</v>
      </c>
    </row>
    <row r="92" spans="1:10">
      <c r="A92" s="56" t="s">
        <v>209</v>
      </c>
      <c r="B92" s="56" t="s">
        <v>210</v>
      </c>
      <c r="C92" s="56" t="s">
        <v>241</v>
      </c>
      <c r="D92" s="56" t="s">
        <v>498</v>
      </c>
      <c r="E92" s="56" t="s">
        <v>242</v>
      </c>
      <c r="F92" s="56" t="s">
        <v>243</v>
      </c>
      <c r="G92" s="56" t="s">
        <v>55</v>
      </c>
      <c r="H92" s="56">
        <v>904</v>
      </c>
      <c r="I92" s="56">
        <v>5558</v>
      </c>
      <c r="J92" s="65">
        <v>6.132005899705014</v>
      </c>
    </row>
    <row r="93" spans="1:10">
      <c r="A93" s="56" t="s">
        <v>209</v>
      </c>
      <c r="B93" s="56" t="s">
        <v>210</v>
      </c>
      <c r="C93" s="56" t="s">
        <v>241</v>
      </c>
      <c r="D93" s="56" t="s">
        <v>498</v>
      </c>
      <c r="E93" s="56" t="s">
        <v>244</v>
      </c>
      <c r="F93" s="56" t="s">
        <v>245</v>
      </c>
      <c r="G93" s="56" t="s">
        <v>48</v>
      </c>
      <c r="H93" s="56">
        <v>49</v>
      </c>
      <c r="I93" s="56">
        <v>16152</v>
      </c>
      <c r="J93" s="65">
        <v>7.2789115646258509</v>
      </c>
    </row>
    <row r="94" spans="1:10">
      <c r="A94" s="56" t="s">
        <v>209</v>
      </c>
      <c r="B94" s="56" t="s">
        <v>210</v>
      </c>
      <c r="C94" s="56" t="s">
        <v>246</v>
      </c>
      <c r="D94" s="56" t="s">
        <v>499</v>
      </c>
      <c r="E94" s="56" t="s">
        <v>247</v>
      </c>
      <c r="F94" s="56" t="s">
        <v>248</v>
      </c>
      <c r="G94" s="56" t="s">
        <v>55</v>
      </c>
      <c r="H94" s="56">
        <v>827</v>
      </c>
      <c r="I94" s="56">
        <v>9008</v>
      </c>
      <c r="J94" s="65">
        <v>7.5775896815800081</v>
      </c>
    </row>
    <row r="95" spans="1:10">
      <c r="A95" s="56" t="s">
        <v>209</v>
      </c>
      <c r="B95" s="56" t="s">
        <v>210</v>
      </c>
      <c r="C95" s="56" t="s">
        <v>249</v>
      </c>
      <c r="D95" s="56" t="s">
        <v>500</v>
      </c>
      <c r="E95" s="56" t="s">
        <v>250</v>
      </c>
      <c r="F95" s="56" t="s">
        <v>251</v>
      </c>
      <c r="G95" s="56" t="s">
        <v>88</v>
      </c>
      <c r="H95" s="56">
        <v>17</v>
      </c>
      <c r="I95" s="56">
        <v>1559</v>
      </c>
      <c r="J95" s="65">
        <v>6.3235294117647056</v>
      </c>
    </row>
    <row r="96" spans="1:10">
      <c r="A96" s="56" t="s">
        <v>209</v>
      </c>
      <c r="B96" s="56" t="s">
        <v>210</v>
      </c>
      <c r="C96" s="56" t="s">
        <v>249</v>
      </c>
      <c r="D96" s="56" t="s">
        <v>500</v>
      </c>
      <c r="E96" s="56" t="s">
        <v>252</v>
      </c>
      <c r="F96" s="56" t="s">
        <v>253</v>
      </c>
      <c r="G96" s="56" t="s">
        <v>72</v>
      </c>
      <c r="H96" s="56">
        <v>10</v>
      </c>
      <c r="I96" s="56">
        <v>1618</v>
      </c>
      <c r="J96" s="65">
        <v>6.75</v>
      </c>
    </row>
    <row r="97" spans="1:10">
      <c r="A97" s="56" t="s">
        <v>209</v>
      </c>
      <c r="B97" s="56" t="s">
        <v>210</v>
      </c>
      <c r="C97" s="56" t="s">
        <v>249</v>
      </c>
      <c r="D97" s="56" t="s">
        <v>500</v>
      </c>
      <c r="E97" s="56" t="s">
        <v>254</v>
      </c>
      <c r="F97" s="56" t="s">
        <v>255</v>
      </c>
      <c r="G97" s="56" t="s">
        <v>48</v>
      </c>
      <c r="H97" s="56">
        <v>1193</v>
      </c>
      <c r="I97" s="56">
        <v>6873</v>
      </c>
      <c r="J97" s="65">
        <v>5.4533389214864485</v>
      </c>
    </row>
    <row r="98" spans="1:10">
      <c r="A98" s="56" t="s">
        <v>209</v>
      </c>
      <c r="B98" s="56" t="s">
        <v>210</v>
      </c>
      <c r="C98" s="56" t="s">
        <v>256</v>
      </c>
      <c r="D98" s="56" t="s">
        <v>501</v>
      </c>
      <c r="E98" s="56" t="s">
        <v>257</v>
      </c>
      <c r="F98" s="56" t="s">
        <v>258</v>
      </c>
      <c r="G98" s="56" t="s">
        <v>48</v>
      </c>
      <c r="H98" s="56">
        <v>1245</v>
      </c>
      <c r="I98" s="56">
        <v>4791</v>
      </c>
      <c r="J98" s="65">
        <v>6.168005354752343</v>
      </c>
    </row>
    <row r="99" spans="1:10">
      <c r="A99" s="56" t="s">
        <v>209</v>
      </c>
      <c r="B99" s="56" t="s">
        <v>210</v>
      </c>
      <c r="C99" s="56" t="s">
        <v>256</v>
      </c>
      <c r="D99" s="56" t="s">
        <v>501</v>
      </c>
      <c r="E99" s="56" t="s">
        <v>259</v>
      </c>
      <c r="F99" s="56" t="s">
        <v>260</v>
      </c>
      <c r="G99" s="56" t="s">
        <v>48</v>
      </c>
      <c r="H99" s="56">
        <v>1213</v>
      </c>
      <c r="I99" s="56">
        <v>5584</v>
      </c>
      <c r="J99" s="65">
        <v>6.2235504259411929</v>
      </c>
    </row>
    <row r="100" spans="1:10">
      <c r="A100" s="56" t="s">
        <v>209</v>
      </c>
      <c r="B100" s="56" t="s">
        <v>210</v>
      </c>
      <c r="C100" s="56" t="s">
        <v>256</v>
      </c>
      <c r="D100" s="56" t="s">
        <v>501</v>
      </c>
      <c r="E100" s="56" t="s">
        <v>261</v>
      </c>
      <c r="F100" s="56" t="s">
        <v>262</v>
      </c>
      <c r="G100" s="56" t="s">
        <v>55</v>
      </c>
      <c r="H100" s="56">
        <v>1494</v>
      </c>
      <c r="I100" s="56">
        <v>4485</v>
      </c>
      <c r="J100" s="65">
        <v>7.555778670236502</v>
      </c>
    </row>
    <row r="101" spans="1:10">
      <c r="A101" s="56" t="s">
        <v>209</v>
      </c>
      <c r="B101" s="56" t="s">
        <v>210</v>
      </c>
      <c r="C101" s="56" t="s">
        <v>263</v>
      </c>
      <c r="D101" s="56" t="s">
        <v>502</v>
      </c>
      <c r="E101" s="56" t="s">
        <v>264</v>
      </c>
      <c r="F101" s="56" t="s">
        <v>265</v>
      </c>
      <c r="G101" s="56" t="s">
        <v>178</v>
      </c>
      <c r="H101" s="56">
        <v>203</v>
      </c>
      <c r="I101" s="56">
        <v>3960</v>
      </c>
      <c r="J101" s="65">
        <v>5.4105090311986856</v>
      </c>
    </row>
    <row r="102" spans="1:10">
      <c r="A102" s="56" t="s">
        <v>209</v>
      </c>
      <c r="B102" s="56" t="s">
        <v>210</v>
      </c>
      <c r="C102" s="56" t="s">
        <v>263</v>
      </c>
      <c r="D102" s="56" t="s">
        <v>502</v>
      </c>
      <c r="E102" s="56" t="s">
        <v>266</v>
      </c>
      <c r="F102" s="56" t="s">
        <v>267</v>
      </c>
      <c r="G102" s="56" t="s">
        <v>48</v>
      </c>
      <c r="H102" s="56">
        <v>2407</v>
      </c>
      <c r="I102" s="56">
        <v>17419</v>
      </c>
      <c r="J102" s="65">
        <v>6.2834095000692418</v>
      </c>
    </row>
    <row r="103" spans="1:10">
      <c r="A103" s="56" t="s">
        <v>209</v>
      </c>
      <c r="B103" s="56" t="s">
        <v>210</v>
      </c>
      <c r="C103" s="56" t="s">
        <v>263</v>
      </c>
      <c r="D103" s="56" t="s">
        <v>502</v>
      </c>
      <c r="E103" s="56" t="s">
        <v>268</v>
      </c>
      <c r="F103" s="56" t="s">
        <v>269</v>
      </c>
      <c r="G103" s="56" t="s">
        <v>55</v>
      </c>
      <c r="H103" s="56">
        <v>716</v>
      </c>
      <c r="I103" s="56">
        <v>8875</v>
      </c>
      <c r="J103" s="65">
        <v>6.5386405959031659</v>
      </c>
    </row>
    <row r="104" spans="1:10">
      <c r="A104" s="56" t="s">
        <v>209</v>
      </c>
      <c r="B104" s="56" t="s">
        <v>210</v>
      </c>
      <c r="C104" s="56" t="s">
        <v>263</v>
      </c>
      <c r="D104" s="56" t="s">
        <v>502</v>
      </c>
      <c r="E104" s="56" t="s">
        <v>270</v>
      </c>
      <c r="F104" s="56" t="s">
        <v>271</v>
      </c>
      <c r="G104" s="56" t="s">
        <v>48</v>
      </c>
      <c r="H104" s="56">
        <v>1311</v>
      </c>
      <c r="I104" s="56">
        <v>5618</v>
      </c>
      <c r="J104" s="65">
        <v>7.6366641240783109</v>
      </c>
    </row>
    <row r="105" spans="1:10">
      <c r="A105" s="56" t="s">
        <v>209</v>
      </c>
      <c r="B105" s="56" t="s">
        <v>210</v>
      </c>
      <c r="C105" s="56" t="s">
        <v>272</v>
      </c>
      <c r="D105" s="56" t="s">
        <v>503</v>
      </c>
      <c r="E105" s="56" t="s">
        <v>273</v>
      </c>
      <c r="F105" s="56" t="s">
        <v>274</v>
      </c>
      <c r="G105" s="56" t="s">
        <v>55</v>
      </c>
      <c r="H105" s="56">
        <v>316</v>
      </c>
      <c r="I105" s="56">
        <v>4438</v>
      </c>
      <c r="J105" s="65">
        <v>5.7885021097046412</v>
      </c>
    </row>
    <row r="106" spans="1:10">
      <c r="A106" s="56" t="s">
        <v>209</v>
      </c>
      <c r="B106" s="56" t="s">
        <v>210</v>
      </c>
      <c r="C106" s="56" t="s">
        <v>272</v>
      </c>
      <c r="D106" s="56" t="s">
        <v>503</v>
      </c>
      <c r="E106" s="56" t="s">
        <v>275</v>
      </c>
      <c r="F106" s="56" t="s">
        <v>276</v>
      </c>
      <c r="G106" s="56" t="s">
        <v>55</v>
      </c>
      <c r="H106" s="56">
        <v>508</v>
      </c>
      <c r="I106" s="56">
        <v>3621</v>
      </c>
      <c r="J106" s="65">
        <v>6.215551181102362</v>
      </c>
    </row>
    <row r="107" spans="1:10">
      <c r="A107" s="56" t="s">
        <v>209</v>
      </c>
      <c r="B107" s="56" t="s">
        <v>210</v>
      </c>
      <c r="C107" s="56" t="s">
        <v>272</v>
      </c>
      <c r="D107" s="56" t="s">
        <v>503</v>
      </c>
      <c r="E107" s="56" t="s">
        <v>277</v>
      </c>
      <c r="F107" s="56" t="s">
        <v>278</v>
      </c>
      <c r="G107" s="56" t="s">
        <v>48</v>
      </c>
      <c r="H107" s="56">
        <v>61</v>
      </c>
      <c r="I107" s="56">
        <v>401</v>
      </c>
      <c r="J107" s="65">
        <v>6.9808743169398904</v>
      </c>
    </row>
    <row r="108" spans="1:10">
      <c r="A108" s="56" t="s">
        <v>209</v>
      </c>
      <c r="B108" s="56" t="s">
        <v>210</v>
      </c>
      <c r="C108" s="56" t="s">
        <v>272</v>
      </c>
      <c r="D108" s="56" t="s">
        <v>503</v>
      </c>
      <c r="E108" s="56" t="s">
        <v>279</v>
      </c>
      <c r="F108" s="56" t="s">
        <v>280</v>
      </c>
      <c r="G108" s="56" t="s">
        <v>48</v>
      </c>
      <c r="H108" s="56">
        <v>1601</v>
      </c>
      <c r="I108" s="56">
        <v>7301</v>
      </c>
      <c r="J108" s="65">
        <v>6.4876119092234017</v>
      </c>
    </row>
    <row r="109" spans="1:10">
      <c r="A109" s="56" t="s">
        <v>209</v>
      </c>
      <c r="B109" s="56" t="s">
        <v>210</v>
      </c>
      <c r="C109" s="56" t="s">
        <v>272</v>
      </c>
      <c r="D109" s="56" t="s">
        <v>503</v>
      </c>
      <c r="E109" s="56" t="s">
        <v>281</v>
      </c>
      <c r="F109" s="56" t="s">
        <v>282</v>
      </c>
      <c r="G109" s="56" t="s">
        <v>48</v>
      </c>
      <c r="H109" s="56">
        <v>360</v>
      </c>
      <c r="I109" s="56">
        <v>5467</v>
      </c>
      <c r="J109" s="65">
        <v>6.3055555555555554</v>
      </c>
    </row>
    <row r="110" spans="1:10">
      <c r="A110" s="56" t="s">
        <v>209</v>
      </c>
      <c r="B110" s="56" t="s">
        <v>210</v>
      </c>
      <c r="C110" s="56" t="s">
        <v>272</v>
      </c>
      <c r="D110" s="56" t="s">
        <v>503</v>
      </c>
      <c r="E110" s="56" t="s">
        <v>283</v>
      </c>
      <c r="F110" s="56" t="s">
        <v>284</v>
      </c>
      <c r="G110" s="56" t="s">
        <v>48</v>
      </c>
      <c r="H110" s="56">
        <v>204</v>
      </c>
      <c r="I110" s="56">
        <v>10270</v>
      </c>
      <c r="J110" s="65">
        <v>6.9893790849673199</v>
      </c>
    </row>
    <row r="111" spans="1:10">
      <c r="A111" s="56" t="s">
        <v>209</v>
      </c>
      <c r="B111" s="56" t="s">
        <v>210</v>
      </c>
      <c r="C111" s="56" t="s">
        <v>272</v>
      </c>
      <c r="D111" s="56" t="s">
        <v>503</v>
      </c>
      <c r="E111" s="56" t="s">
        <v>285</v>
      </c>
      <c r="F111" s="56" t="s">
        <v>286</v>
      </c>
      <c r="G111" s="56" t="s">
        <v>48</v>
      </c>
      <c r="H111" s="56">
        <v>853</v>
      </c>
      <c r="I111" s="56">
        <v>4595</v>
      </c>
      <c r="J111" s="65">
        <v>6.1283704572098472</v>
      </c>
    </row>
    <row r="112" spans="1:10">
      <c r="A112" s="56" t="s">
        <v>209</v>
      </c>
      <c r="B112" s="56" t="s">
        <v>210</v>
      </c>
      <c r="C112" s="56" t="s">
        <v>287</v>
      </c>
      <c r="D112" s="56" t="s">
        <v>504</v>
      </c>
      <c r="E112" s="56" t="s">
        <v>288</v>
      </c>
      <c r="F112" s="56" t="s">
        <v>289</v>
      </c>
      <c r="G112" s="56" t="s">
        <v>55</v>
      </c>
      <c r="H112" s="56">
        <v>176</v>
      </c>
      <c r="I112" s="56">
        <v>3972</v>
      </c>
      <c r="J112" s="65">
        <v>6.4393939393939386</v>
      </c>
    </row>
    <row r="113" spans="1:10">
      <c r="A113" s="56" t="s">
        <v>209</v>
      </c>
      <c r="B113" s="56" t="s">
        <v>210</v>
      </c>
      <c r="C113" s="56" t="s">
        <v>287</v>
      </c>
      <c r="D113" s="56" t="s">
        <v>504</v>
      </c>
      <c r="E113" s="56" t="s">
        <v>290</v>
      </c>
      <c r="F113" s="56" t="s">
        <v>291</v>
      </c>
      <c r="G113" s="56" t="s">
        <v>48</v>
      </c>
      <c r="H113" s="56">
        <v>318</v>
      </c>
      <c r="I113" s="56">
        <v>2659</v>
      </c>
      <c r="J113" s="65">
        <v>6.25</v>
      </c>
    </row>
    <row r="114" spans="1:10">
      <c r="A114" s="56" t="s">
        <v>209</v>
      </c>
      <c r="B114" s="56" t="s">
        <v>210</v>
      </c>
      <c r="C114" s="56" t="s">
        <v>287</v>
      </c>
      <c r="D114" s="56" t="s">
        <v>504</v>
      </c>
      <c r="E114" s="56" t="s">
        <v>292</v>
      </c>
      <c r="F114" s="56" t="s">
        <v>293</v>
      </c>
      <c r="G114" s="56" t="s">
        <v>48</v>
      </c>
      <c r="H114" s="56">
        <v>222</v>
      </c>
      <c r="I114" s="56">
        <v>4891</v>
      </c>
      <c r="J114" s="65">
        <v>7.1546546546546539</v>
      </c>
    </row>
    <row r="115" spans="1:10">
      <c r="A115" s="56" t="s">
        <v>209</v>
      </c>
      <c r="B115" s="56" t="s">
        <v>210</v>
      </c>
      <c r="C115" s="56" t="s">
        <v>287</v>
      </c>
      <c r="D115" s="56" t="s">
        <v>504</v>
      </c>
      <c r="E115" s="56" t="s">
        <v>294</v>
      </c>
      <c r="F115" s="56" t="s">
        <v>295</v>
      </c>
      <c r="G115" s="56" t="s">
        <v>48</v>
      </c>
      <c r="H115" s="56">
        <v>77</v>
      </c>
      <c r="I115" s="56">
        <v>9237</v>
      </c>
      <c r="J115" s="65">
        <v>6.1255411255411261</v>
      </c>
    </row>
    <row r="116" spans="1:10">
      <c r="A116" s="56" t="s">
        <v>296</v>
      </c>
      <c r="B116" s="56" t="s">
        <v>297</v>
      </c>
      <c r="C116" s="56" t="s">
        <v>298</v>
      </c>
      <c r="D116" s="56" t="s">
        <v>505</v>
      </c>
      <c r="E116" s="56" t="s">
        <v>299</v>
      </c>
      <c r="F116" s="56" t="s">
        <v>300</v>
      </c>
      <c r="G116" s="56" t="s">
        <v>55</v>
      </c>
      <c r="H116" s="56">
        <v>449</v>
      </c>
      <c r="I116" s="56">
        <v>5894</v>
      </c>
      <c r="J116" s="65">
        <v>6.3882702301410541</v>
      </c>
    </row>
    <row r="117" spans="1:10">
      <c r="A117" s="56" t="s">
        <v>296</v>
      </c>
      <c r="B117" s="56" t="s">
        <v>297</v>
      </c>
      <c r="C117" s="56" t="s">
        <v>301</v>
      </c>
      <c r="D117" s="56" t="s">
        <v>506</v>
      </c>
      <c r="E117" s="56" t="s">
        <v>302</v>
      </c>
      <c r="F117" s="56" t="s">
        <v>303</v>
      </c>
      <c r="G117" s="56" t="s">
        <v>48</v>
      </c>
      <c r="H117" s="56">
        <v>162</v>
      </c>
      <c r="I117" s="56">
        <v>3805</v>
      </c>
      <c r="J117" s="65">
        <v>6.1882716049382713</v>
      </c>
    </row>
    <row r="118" spans="1:10">
      <c r="A118" s="56" t="s">
        <v>296</v>
      </c>
      <c r="B118" s="56" t="s">
        <v>297</v>
      </c>
      <c r="C118" s="56" t="s">
        <v>304</v>
      </c>
      <c r="D118" s="56" t="s">
        <v>507</v>
      </c>
      <c r="E118" s="56" t="s">
        <v>305</v>
      </c>
      <c r="F118" s="56" t="s">
        <v>306</v>
      </c>
      <c r="G118" s="56" t="s">
        <v>48</v>
      </c>
      <c r="H118" s="56">
        <v>47</v>
      </c>
      <c r="I118" s="56">
        <v>11162</v>
      </c>
      <c r="J118" s="65">
        <v>5.4432624113475176</v>
      </c>
    </row>
    <row r="119" spans="1:10">
      <c r="A119" s="56" t="s">
        <v>296</v>
      </c>
      <c r="B119" s="56" t="s">
        <v>297</v>
      </c>
      <c r="C119" s="56" t="s">
        <v>304</v>
      </c>
      <c r="D119" s="56" t="s">
        <v>507</v>
      </c>
      <c r="E119" s="56" t="s">
        <v>307</v>
      </c>
      <c r="F119" s="56" t="s">
        <v>308</v>
      </c>
      <c r="G119" s="56" t="s">
        <v>48</v>
      </c>
      <c r="H119" s="56">
        <v>1321</v>
      </c>
      <c r="I119" s="56">
        <v>4779</v>
      </c>
      <c r="J119" s="65">
        <v>7.0546303305576581</v>
      </c>
    </row>
    <row r="120" spans="1:10">
      <c r="A120" s="56" t="s">
        <v>296</v>
      </c>
      <c r="B120" s="56" t="s">
        <v>297</v>
      </c>
      <c r="C120" s="56" t="s">
        <v>309</v>
      </c>
      <c r="D120" s="56" t="s">
        <v>508</v>
      </c>
      <c r="E120" s="56" t="s">
        <v>310</v>
      </c>
      <c r="F120" s="56" t="s">
        <v>311</v>
      </c>
      <c r="G120" s="56" t="s">
        <v>48</v>
      </c>
      <c r="H120" s="56">
        <v>120</v>
      </c>
      <c r="I120" s="56">
        <v>6324</v>
      </c>
      <c r="J120" s="65">
        <v>5.9097222222222223</v>
      </c>
    </row>
    <row r="121" spans="1:10">
      <c r="A121" s="56" t="s">
        <v>296</v>
      </c>
      <c r="B121" s="56" t="s">
        <v>297</v>
      </c>
      <c r="C121" s="56" t="s">
        <v>309</v>
      </c>
      <c r="D121" s="56" t="s">
        <v>508</v>
      </c>
      <c r="E121" s="56" t="s">
        <v>312</v>
      </c>
      <c r="F121" s="56" t="s">
        <v>313</v>
      </c>
      <c r="G121" s="56" t="s">
        <v>88</v>
      </c>
      <c r="H121" s="56">
        <v>117</v>
      </c>
      <c r="I121" s="56">
        <v>2680</v>
      </c>
      <c r="J121" s="65">
        <v>6.7307692307692308</v>
      </c>
    </row>
    <row r="122" spans="1:10">
      <c r="A122" s="56" t="s">
        <v>296</v>
      </c>
      <c r="B122" s="56" t="s">
        <v>297</v>
      </c>
      <c r="C122" s="56" t="s">
        <v>309</v>
      </c>
      <c r="D122" s="56" t="s">
        <v>508</v>
      </c>
      <c r="E122" s="56" t="s">
        <v>314</v>
      </c>
      <c r="F122" s="56" t="s">
        <v>315</v>
      </c>
      <c r="G122" s="56" t="s">
        <v>55</v>
      </c>
      <c r="H122" s="56">
        <v>650</v>
      </c>
      <c r="I122" s="56">
        <v>3659</v>
      </c>
      <c r="J122" s="65">
        <v>7.4948717948717958</v>
      </c>
    </row>
    <row r="123" spans="1:10">
      <c r="A123" s="56" t="s">
        <v>296</v>
      </c>
      <c r="B123" s="56" t="s">
        <v>297</v>
      </c>
      <c r="C123" s="56" t="s">
        <v>309</v>
      </c>
      <c r="D123" s="56" t="s">
        <v>508</v>
      </c>
      <c r="E123" s="56" t="s">
        <v>316</v>
      </c>
      <c r="F123" s="56" t="s">
        <v>317</v>
      </c>
      <c r="G123" s="56" t="s">
        <v>48</v>
      </c>
      <c r="H123" s="56">
        <v>267</v>
      </c>
      <c r="I123" s="56">
        <v>3739</v>
      </c>
      <c r="J123" s="65">
        <v>5.4868913857677901</v>
      </c>
    </row>
    <row r="124" spans="1:10">
      <c r="A124" s="56" t="s">
        <v>296</v>
      </c>
      <c r="B124" s="56" t="s">
        <v>297</v>
      </c>
      <c r="C124" s="56" t="s">
        <v>309</v>
      </c>
      <c r="D124" s="56" t="s">
        <v>508</v>
      </c>
      <c r="E124" s="56" t="s">
        <v>318</v>
      </c>
      <c r="F124" s="56" t="s">
        <v>319</v>
      </c>
      <c r="G124" s="56" t="s">
        <v>48</v>
      </c>
      <c r="H124" s="56">
        <v>645</v>
      </c>
      <c r="I124" s="56">
        <v>5221</v>
      </c>
      <c r="J124" s="65">
        <v>5.7416020671834627</v>
      </c>
    </row>
    <row r="125" spans="1:10">
      <c r="A125" s="56" t="s">
        <v>296</v>
      </c>
      <c r="B125" s="56" t="s">
        <v>297</v>
      </c>
      <c r="C125" s="56" t="s">
        <v>320</v>
      </c>
      <c r="D125" s="56" t="s">
        <v>509</v>
      </c>
      <c r="E125" s="56" t="s">
        <v>321</v>
      </c>
      <c r="F125" s="56" t="s">
        <v>322</v>
      </c>
      <c r="G125" s="56" t="s">
        <v>48</v>
      </c>
      <c r="H125" s="56">
        <v>186</v>
      </c>
      <c r="I125" s="56">
        <v>8926</v>
      </c>
      <c r="J125" s="65">
        <v>4.8431899641577063</v>
      </c>
    </row>
    <row r="126" spans="1:10">
      <c r="A126" s="56" t="s">
        <v>296</v>
      </c>
      <c r="B126" s="56" t="s">
        <v>297</v>
      </c>
      <c r="C126" s="56" t="s">
        <v>320</v>
      </c>
      <c r="D126" s="56" t="s">
        <v>509</v>
      </c>
      <c r="E126" s="56" t="s">
        <v>323</v>
      </c>
      <c r="F126" s="56" t="s">
        <v>324</v>
      </c>
      <c r="G126" s="56" t="s">
        <v>55</v>
      </c>
      <c r="H126" s="56">
        <v>1083</v>
      </c>
      <c r="I126" s="56">
        <v>4681</v>
      </c>
      <c r="J126" s="65">
        <v>6.0026161895967984</v>
      </c>
    </row>
    <row r="127" spans="1:10">
      <c r="A127" s="56" t="s">
        <v>296</v>
      </c>
      <c r="B127" s="56" t="s">
        <v>297</v>
      </c>
      <c r="C127" s="56" t="s">
        <v>320</v>
      </c>
      <c r="D127" s="56" t="s">
        <v>509</v>
      </c>
      <c r="E127" s="56" t="s">
        <v>325</v>
      </c>
      <c r="F127" s="56" t="s">
        <v>326</v>
      </c>
      <c r="G127" s="56" t="s">
        <v>88</v>
      </c>
      <c r="H127" s="56">
        <v>276</v>
      </c>
      <c r="I127" s="56">
        <v>2363</v>
      </c>
      <c r="J127" s="65">
        <v>7.2644927536231885</v>
      </c>
    </row>
    <row r="128" spans="1:10">
      <c r="A128" s="56" t="s">
        <v>296</v>
      </c>
      <c r="B128" s="56" t="s">
        <v>297</v>
      </c>
      <c r="C128" s="56" t="s">
        <v>320</v>
      </c>
      <c r="D128" s="56" t="s">
        <v>509</v>
      </c>
      <c r="E128" s="56" t="s">
        <v>327</v>
      </c>
      <c r="F128" s="56" t="s">
        <v>328</v>
      </c>
      <c r="G128" s="56" t="s">
        <v>48</v>
      </c>
      <c r="H128" s="56">
        <v>406</v>
      </c>
      <c r="I128" s="56">
        <v>3741</v>
      </c>
      <c r="J128" s="65">
        <v>5.1990968801313633</v>
      </c>
    </row>
    <row r="129" spans="1:10">
      <c r="A129" s="56" t="s">
        <v>296</v>
      </c>
      <c r="B129" s="56" t="s">
        <v>297</v>
      </c>
      <c r="C129" s="56" t="s">
        <v>329</v>
      </c>
      <c r="D129" s="56" t="s">
        <v>510</v>
      </c>
      <c r="E129" s="56" t="s">
        <v>330</v>
      </c>
      <c r="F129" s="56" t="s">
        <v>331</v>
      </c>
      <c r="G129" s="56" t="s">
        <v>48</v>
      </c>
      <c r="H129" s="56">
        <v>3724</v>
      </c>
      <c r="I129" s="56">
        <v>11468</v>
      </c>
      <c r="J129" s="65">
        <v>7.3111349803079131</v>
      </c>
    </row>
    <row r="130" spans="1:10">
      <c r="A130" s="56" t="s">
        <v>296</v>
      </c>
      <c r="B130" s="56" t="s">
        <v>297</v>
      </c>
      <c r="C130" s="56" t="s">
        <v>329</v>
      </c>
      <c r="D130" s="56" t="s">
        <v>510</v>
      </c>
      <c r="E130" s="56" t="s">
        <v>332</v>
      </c>
      <c r="F130" s="56" t="s">
        <v>333</v>
      </c>
      <c r="G130" s="56" t="s">
        <v>55</v>
      </c>
      <c r="H130" s="56">
        <v>2275</v>
      </c>
      <c r="I130" s="56">
        <v>4368</v>
      </c>
      <c r="J130" s="65">
        <v>7.3571428571428568</v>
      </c>
    </row>
    <row r="131" spans="1:10">
      <c r="A131" s="56" t="s">
        <v>296</v>
      </c>
      <c r="B131" s="56" t="s">
        <v>297</v>
      </c>
      <c r="C131" s="56" t="s">
        <v>329</v>
      </c>
      <c r="D131" s="56" t="s">
        <v>510</v>
      </c>
      <c r="E131" s="56" t="s">
        <v>334</v>
      </c>
      <c r="F131" s="56" t="s">
        <v>335</v>
      </c>
      <c r="G131" s="56" t="s">
        <v>88</v>
      </c>
      <c r="H131" s="56">
        <v>89</v>
      </c>
      <c r="I131" s="56">
        <v>2775</v>
      </c>
      <c r="J131" s="65">
        <v>7.9213483146067416</v>
      </c>
    </row>
    <row r="132" spans="1:10">
      <c r="A132" s="56" t="s">
        <v>296</v>
      </c>
      <c r="B132" s="56" t="s">
        <v>297</v>
      </c>
      <c r="C132" s="56" t="s">
        <v>329</v>
      </c>
      <c r="D132" s="56" t="s">
        <v>510</v>
      </c>
      <c r="E132" s="56" t="s">
        <v>336</v>
      </c>
      <c r="F132" s="56" t="s">
        <v>337</v>
      </c>
      <c r="G132" s="56" t="s">
        <v>178</v>
      </c>
      <c r="H132" s="56">
        <v>1120</v>
      </c>
      <c r="I132" s="56">
        <v>5575</v>
      </c>
      <c r="J132" s="65">
        <v>4.8303571428571432</v>
      </c>
    </row>
    <row r="133" spans="1:10">
      <c r="A133" s="56" t="s">
        <v>296</v>
      </c>
      <c r="B133" s="56" t="s">
        <v>297</v>
      </c>
      <c r="C133" s="56" t="s">
        <v>329</v>
      </c>
      <c r="D133" s="56" t="s">
        <v>510</v>
      </c>
      <c r="E133" s="56" t="s">
        <v>338</v>
      </c>
      <c r="F133" s="56" t="s">
        <v>339</v>
      </c>
      <c r="G133" s="56" t="s">
        <v>48</v>
      </c>
      <c r="H133" s="56">
        <v>359</v>
      </c>
      <c r="I133" s="56">
        <v>6935</v>
      </c>
      <c r="J133" s="65">
        <v>5.4015784586815228</v>
      </c>
    </row>
    <row r="134" spans="1:10">
      <c r="A134" s="56" t="s">
        <v>340</v>
      </c>
      <c r="B134" s="56" t="s">
        <v>341</v>
      </c>
      <c r="C134" s="56" t="s">
        <v>342</v>
      </c>
      <c r="D134" s="56" t="s">
        <v>511</v>
      </c>
      <c r="E134" s="56" t="s">
        <v>343</v>
      </c>
      <c r="F134" s="56" t="s">
        <v>344</v>
      </c>
      <c r="G134" s="56" t="s">
        <v>48</v>
      </c>
      <c r="H134" s="56">
        <v>265</v>
      </c>
      <c r="I134" s="56">
        <v>7856</v>
      </c>
      <c r="J134" s="65">
        <v>6.5188679245283021</v>
      </c>
    </row>
    <row r="135" spans="1:10">
      <c r="A135" s="56" t="s">
        <v>340</v>
      </c>
      <c r="B135" s="56" t="s">
        <v>341</v>
      </c>
      <c r="C135" s="56" t="s">
        <v>342</v>
      </c>
      <c r="D135" s="56" t="s">
        <v>511</v>
      </c>
      <c r="E135" s="56" t="s">
        <v>345</v>
      </c>
      <c r="F135" s="56" t="s">
        <v>346</v>
      </c>
      <c r="G135" s="56" t="s">
        <v>48</v>
      </c>
      <c r="H135" s="56">
        <v>27</v>
      </c>
      <c r="I135" s="56">
        <v>9614</v>
      </c>
      <c r="J135" s="65">
        <v>6.666666666666667</v>
      </c>
    </row>
    <row r="136" spans="1:10">
      <c r="A136" s="56" t="s">
        <v>340</v>
      </c>
      <c r="B136" s="56" t="s">
        <v>341</v>
      </c>
      <c r="C136" s="56" t="s">
        <v>342</v>
      </c>
      <c r="D136" s="56" t="s">
        <v>511</v>
      </c>
      <c r="E136" s="56" t="s">
        <v>347</v>
      </c>
      <c r="F136" s="56" t="s">
        <v>348</v>
      </c>
      <c r="G136" s="56" t="s">
        <v>55</v>
      </c>
      <c r="H136" s="56">
        <v>1070</v>
      </c>
      <c r="I136" s="56">
        <v>7066</v>
      </c>
      <c r="J136" s="65">
        <v>6.6160436137071654</v>
      </c>
    </row>
    <row r="137" spans="1:10">
      <c r="A137" s="56" t="s">
        <v>340</v>
      </c>
      <c r="B137" s="56" t="s">
        <v>341</v>
      </c>
      <c r="C137" s="56" t="s">
        <v>342</v>
      </c>
      <c r="D137" s="56" t="s">
        <v>511</v>
      </c>
      <c r="E137" s="56" t="s">
        <v>349</v>
      </c>
      <c r="F137" s="56" t="s">
        <v>350</v>
      </c>
      <c r="G137" s="56" t="s">
        <v>48</v>
      </c>
      <c r="H137" s="56">
        <v>1370</v>
      </c>
      <c r="I137" s="56">
        <v>9294</v>
      </c>
      <c r="J137" s="65">
        <v>6.6867396593673973</v>
      </c>
    </row>
    <row r="138" spans="1:10">
      <c r="A138" s="56" t="s">
        <v>340</v>
      </c>
      <c r="B138" s="56" t="s">
        <v>341</v>
      </c>
      <c r="C138" s="56" t="s">
        <v>342</v>
      </c>
      <c r="D138" s="56" t="s">
        <v>511</v>
      </c>
      <c r="E138" s="56" t="s">
        <v>351</v>
      </c>
      <c r="F138" s="56" t="s">
        <v>352</v>
      </c>
      <c r="G138" s="56" t="s">
        <v>48</v>
      </c>
      <c r="H138" s="56">
        <v>348</v>
      </c>
      <c r="I138" s="56">
        <v>7106</v>
      </c>
      <c r="J138" s="65">
        <v>6.240421455938697</v>
      </c>
    </row>
    <row r="139" spans="1:10">
      <c r="A139" s="56" t="s">
        <v>340</v>
      </c>
      <c r="B139" s="56" t="s">
        <v>341</v>
      </c>
      <c r="C139" s="56" t="s">
        <v>353</v>
      </c>
      <c r="D139" s="56" t="s">
        <v>512</v>
      </c>
      <c r="E139" s="56" t="s">
        <v>354</v>
      </c>
      <c r="F139" s="56" t="s">
        <v>355</v>
      </c>
      <c r="G139" s="56" t="s">
        <v>48</v>
      </c>
      <c r="H139" s="56">
        <v>1200</v>
      </c>
      <c r="I139" s="56">
        <v>6357</v>
      </c>
      <c r="J139" s="65">
        <v>7.2868055555555546</v>
      </c>
    </row>
    <row r="140" spans="1:10">
      <c r="A140" s="56" t="s">
        <v>340</v>
      </c>
      <c r="B140" s="56" t="s">
        <v>341</v>
      </c>
      <c r="C140" s="56" t="s">
        <v>353</v>
      </c>
      <c r="D140" s="56" t="s">
        <v>512</v>
      </c>
      <c r="E140" s="56" t="s">
        <v>356</v>
      </c>
      <c r="F140" s="56" t="s">
        <v>357</v>
      </c>
      <c r="G140" s="56" t="s">
        <v>55</v>
      </c>
      <c r="H140" s="56">
        <v>1309</v>
      </c>
      <c r="I140" s="56">
        <v>6258</v>
      </c>
      <c r="J140" s="65">
        <v>6.403743315508021</v>
      </c>
    </row>
    <row r="141" spans="1:10">
      <c r="A141" s="56" t="s">
        <v>340</v>
      </c>
      <c r="B141" s="56" t="s">
        <v>341</v>
      </c>
      <c r="C141" s="56" t="s">
        <v>353</v>
      </c>
      <c r="D141" s="56" t="s">
        <v>512</v>
      </c>
      <c r="E141" s="56" t="s">
        <v>358</v>
      </c>
      <c r="F141" s="56" t="s">
        <v>359</v>
      </c>
      <c r="G141" s="56" t="s">
        <v>48</v>
      </c>
      <c r="H141" s="56">
        <v>3669</v>
      </c>
      <c r="I141" s="56">
        <v>27674</v>
      </c>
      <c r="J141" s="65">
        <v>6.5258471881529934</v>
      </c>
    </row>
    <row r="142" spans="1:10">
      <c r="A142" s="56" t="s">
        <v>340</v>
      </c>
      <c r="B142" s="56" t="s">
        <v>341</v>
      </c>
      <c r="C142" s="56" t="s">
        <v>353</v>
      </c>
      <c r="D142" s="56" t="s">
        <v>512</v>
      </c>
      <c r="E142" s="56" t="s">
        <v>360</v>
      </c>
      <c r="F142" s="56" t="s">
        <v>361</v>
      </c>
      <c r="G142" s="56" t="s">
        <v>178</v>
      </c>
      <c r="H142" s="56">
        <v>850</v>
      </c>
      <c r="I142" s="56">
        <v>6686</v>
      </c>
      <c r="J142" s="65">
        <v>6.450980392156862</v>
      </c>
    </row>
    <row r="143" spans="1:10">
      <c r="A143" s="56" t="s">
        <v>340</v>
      </c>
      <c r="B143" s="56" t="s">
        <v>341</v>
      </c>
      <c r="C143" s="56" t="s">
        <v>353</v>
      </c>
      <c r="D143" s="56" t="s">
        <v>512</v>
      </c>
      <c r="E143" s="56" t="s">
        <v>362</v>
      </c>
      <c r="F143" s="56" t="s">
        <v>363</v>
      </c>
      <c r="G143" s="56" t="s">
        <v>48</v>
      </c>
      <c r="H143" s="56">
        <v>2227</v>
      </c>
      <c r="I143" s="56">
        <v>19067</v>
      </c>
      <c r="J143" s="65">
        <v>6.1435413860200567</v>
      </c>
    </row>
    <row r="144" spans="1:10">
      <c r="A144" s="56" t="s">
        <v>340</v>
      </c>
      <c r="B144" s="56" t="s">
        <v>341</v>
      </c>
      <c r="C144" s="56" t="s">
        <v>353</v>
      </c>
      <c r="D144" s="56" t="s">
        <v>512</v>
      </c>
      <c r="E144" s="56" t="s">
        <v>364</v>
      </c>
      <c r="F144" s="56" t="s">
        <v>365</v>
      </c>
      <c r="G144" s="56" t="s">
        <v>55</v>
      </c>
      <c r="H144" s="56">
        <v>204</v>
      </c>
      <c r="I144" s="56">
        <v>3614</v>
      </c>
      <c r="J144" s="65">
        <v>6.0702614379084965</v>
      </c>
    </row>
    <row r="145" spans="1:10">
      <c r="A145" s="56" t="s">
        <v>340</v>
      </c>
      <c r="B145" s="56" t="s">
        <v>341</v>
      </c>
      <c r="C145" s="56" t="s">
        <v>353</v>
      </c>
      <c r="D145" s="56" t="s">
        <v>512</v>
      </c>
      <c r="E145" s="56" t="s">
        <v>366</v>
      </c>
      <c r="F145" s="56" t="s">
        <v>367</v>
      </c>
      <c r="G145" s="56" t="s">
        <v>48</v>
      </c>
      <c r="H145" s="56">
        <v>66</v>
      </c>
      <c r="I145" s="56">
        <v>4061</v>
      </c>
      <c r="J145" s="65">
        <v>5.5808080808080804</v>
      </c>
    </row>
    <row r="146" spans="1:10">
      <c r="A146" s="56" t="s">
        <v>340</v>
      </c>
      <c r="B146" s="56" t="s">
        <v>341</v>
      </c>
      <c r="C146" s="56" t="s">
        <v>353</v>
      </c>
      <c r="D146" s="56" t="s">
        <v>512</v>
      </c>
      <c r="E146" s="56" t="s">
        <v>368</v>
      </c>
      <c r="F146" s="56" t="s">
        <v>369</v>
      </c>
      <c r="G146" s="56" t="s">
        <v>72</v>
      </c>
      <c r="H146" s="56">
        <v>122</v>
      </c>
      <c r="I146" s="56">
        <v>3271</v>
      </c>
      <c r="J146" s="65">
        <v>7.056010928961749</v>
      </c>
    </row>
    <row r="147" spans="1:10">
      <c r="A147" s="56" t="s">
        <v>340</v>
      </c>
      <c r="B147" s="56" t="s">
        <v>341</v>
      </c>
      <c r="C147" s="56" t="s">
        <v>353</v>
      </c>
      <c r="D147" s="56" t="s">
        <v>512</v>
      </c>
      <c r="E147" s="56" t="s">
        <v>370</v>
      </c>
      <c r="F147" s="56" t="s">
        <v>371</v>
      </c>
      <c r="G147" s="56" t="s">
        <v>48</v>
      </c>
      <c r="H147" s="56">
        <v>91</v>
      </c>
      <c r="I147" s="56">
        <v>6789</v>
      </c>
      <c r="J147" s="65">
        <v>6.7673992673992682</v>
      </c>
    </row>
    <row r="148" spans="1:10">
      <c r="A148" s="56" t="s">
        <v>340</v>
      </c>
      <c r="B148" s="56" t="s">
        <v>341</v>
      </c>
      <c r="C148" s="56" t="s">
        <v>372</v>
      </c>
      <c r="D148" s="56" t="s">
        <v>513</v>
      </c>
      <c r="E148" s="56" t="s">
        <v>373</v>
      </c>
      <c r="F148" s="56" t="s">
        <v>374</v>
      </c>
      <c r="G148" s="56" t="s">
        <v>48</v>
      </c>
      <c r="H148" s="56">
        <v>340</v>
      </c>
      <c r="I148" s="56">
        <v>4147</v>
      </c>
      <c r="J148" s="65">
        <v>7.4068627450980395</v>
      </c>
    </row>
    <row r="149" spans="1:10">
      <c r="A149" s="56" t="s">
        <v>340</v>
      </c>
      <c r="B149" s="56" t="s">
        <v>341</v>
      </c>
      <c r="C149" s="56" t="s">
        <v>372</v>
      </c>
      <c r="D149" s="56" t="s">
        <v>513</v>
      </c>
      <c r="E149" s="56" t="s">
        <v>375</v>
      </c>
      <c r="F149" s="56" t="s">
        <v>376</v>
      </c>
      <c r="G149" s="56" t="s">
        <v>88</v>
      </c>
      <c r="H149" s="56">
        <v>228</v>
      </c>
      <c r="I149" s="56">
        <v>1484</v>
      </c>
      <c r="J149" s="65">
        <v>6.6520467836257318</v>
      </c>
    </row>
    <row r="150" spans="1:10">
      <c r="A150" s="56" t="s">
        <v>340</v>
      </c>
      <c r="B150" s="56" t="s">
        <v>341</v>
      </c>
      <c r="C150" s="56" t="s">
        <v>372</v>
      </c>
      <c r="D150" s="56" t="s">
        <v>513</v>
      </c>
      <c r="E150" s="56" t="s">
        <v>377</v>
      </c>
      <c r="F150" s="56" t="s">
        <v>378</v>
      </c>
      <c r="G150" s="56" t="s">
        <v>55</v>
      </c>
      <c r="H150" s="56">
        <v>689</v>
      </c>
      <c r="I150" s="56">
        <v>4047</v>
      </c>
      <c r="J150" s="65">
        <v>7.2290759554910498</v>
      </c>
    </row>
    <row r="151" spans="1:10">
      <c r="A151" s="56" t="s">
        <v>340</v>
      </c>
      <c r="B151" s="56" t="s">
        <v>341</v>
      </c>
      <c r="C151" s="56" t="s">
        <v>372</v>
      </c>
      <c r="D151" s="56" t="s">
        <v>513</v>
      </c>
      <c r="E151" s="56" t="s">
        <v>379</v>
      </c>
      <c r="F151" s="56" t="s">
        <v>380</v>
      </c>
      <c r="G151" s="56" t="s">
        <v>48</v>
      </c>
      <c r="H151" s="56">
        <v>329</v>
      </c>
      <c r="I151" s="56">
        <v>4488</v>
      </c>
      <c r="J151" s="65">
        <v>5.1089159067882468</v>
      </c>
    </row>
    <row r="152" spans="1:10">
      <c r="A152" s="56" t="s">
        <v>340</v>
      </c>
      <c r="B152" s="56" t="s">
        <v>341</v>
      </c>
      <c r="C152" s="56" t="s">
        <v>372</v>
      </c>
      <c r="D152" s="56" t="s">
        <v>513</v>
      </c>
      <c r="E152" s="56" t="s">
        <v>381</v>
      </c>
      <c r="F152" s="56" t="s">
        <v>382</v>
      </c>
      <c r="G152" s="56" t="s">
        <v>48</v>
      </c>
      <c r="H152" s="56">
        <v>49</v>
      </c>
      <c r="I152" s="56">
        <v>2549</v>
      </c>
      <c r="J152" s="65">
        <v>5.9013605442176873</v>
      </c>
    </row>
    <row r="153" spans="1:10">
      <c r="A153" s="56" t="s">
        <v>340</v>
      </c>
      <c r="B153" s="56" t="s">
        <v>341</v>
      </c>
      <c r="C153" s="56" t="s">
        <v>372</v>
      </c>
      <c r="D153" s="56" t="s">
        <v>513</v>
      </c>
      <c r="E153" s="56" t="s">
        <v>383</v>
      </c>
      <c r="F153" s="56" t="s">
        <v>384</v>
      </c>
      <c r="G153" s="56" t="s">
        <v>72</v>
      </c>
      <c r="H153" s="56">
        <v>48</v>
      </c>
      <c r="I153" s="56">
        <v>1888</v>
      </c>
      <c r="J153" s="65">
        <v>8.0555555555555554</v>
      </c>
    </row>
    <row r="154" spans="1:10">
      <c r="A154" s="56" t="s">
        <v>340</v>
      </c>
      <c r="B154" s="56" t="s">
        <v>341</v>
      </c>
      <c r="C154" s="56" t="s">
        <v>372</v>
      </c>
      <c r="D154" s="56" t="s">
        <v>513</v>
      </c>
      <c r="E154" s="56" t="s">
        <v>385</v>
      </c>
      <c r="F154" s="56" t="s">
        <v>386</v>
      </c>
      <c r="G154" s="56" t="s">
        <v>48</v>
      </c>
      <c r="H154" s="56">
        <v>1685</v>
      </c>
      <c r="I154" s="56">
        <v>13593</v>
      </c>
      <c r="J154" s="65">
        <v>6.2838773491592486</v>
      </c>
    </row>
    <row r="155" spans="1:10">
      <c r="A155" s="56" t="s">
        <v>340</v>
      </c>
      <c r="B155" s="56" t="s">
        <v>341</v>
      </c>
      <c r="C155" s="56" t="s">
        <v>372</v>
      </c>
      <c r="D155" s="56" t="s">
        <v>513</v>
      </c>
      <c r="E155" s="56" t="s">
        <v>387</v>
      </c>
      <c r="F155" s="56" t="s">
        <v>388</v>
      </c>
      <c r="G155" s="56" t="s">
        <v>72</v>
      </c>
      <c r="H155" s="56">
        <v>201</v>
      </c>
      <c r="I155" s="56">
        <v>1598</v>
      </c>
      <c r="J155" s="65">
        <v>5.7587064676616917</v>
      </c>
    </row>
    <row r="156" spans="1:10">
      <c r="A156" s="56" t="s">
        <v>340</v>
      </c>
      <c r="B156" s="56" t="s">
        <v>341</v>
      </c>
      <c r="C156" s="56" t="s">
        <v>372</v>
      </c>
      <c r="D156" s="56" t="s">
        <v>513</v>
      </c>
      <c r="E156" s="56" t="s">
        <v>389</v>
      </c>
      <c r="F156" s="56" t="s">
        <v>390</v>
      </c>
      <c r="G156" s="56" t="s">
        <v>55</v>
      </c>
      <c r="H156" s="56">
        <v>2723</v>
      </c>
      <c r="I156" s="56">
        <v>10479</v>
      </c>
      <c r="J156" s="65">
        <v>6.9157791651364917</v>
      </c>
    </row>
    <row r="157" spans="1:10">
      <c r="A157" s="56" t="s">
        <v>340</v>
      </c>
      <c r="B157" s="56" t="s">
        <v>341</v>
      </c>
      <c r="C157" s="56" t="s">
        <v>372</v>
      </c>
      <c r="D157" s="56" t="s">
        <v>513</v>
      </c>
      <c r="E157" s="56" t="s">
        <v>391</v>
      </c>
      <c r="F157" s="56" t="s">
        <v>392</v>
      </c>
      <c r="G157" s="56" t="s">
        <v>48</v>
      </c>
      <c r="H157" s="56">
        <v>337</v>
      </c>
      <c r="I157" s="56">
        <v>5119</v>
      </c>
      <c r="J157" s="65">
        <v>6.8199802176063304</v>
      </c>
    </row>
    <row r="158" spans="1:10">
      <c r="A158" s="56" t="s">
        <v>340</v>
      </c>
      <c r="B158" s="56" t="s">
        <v>341</v>
      </c>
      <c r="C158" s="56" t="s">
        <v>372</v>
      </c>
      <c r="D158" s="56" t="s">
        <v>513</v>
      </c>
      <c r="E158" s="56" t="s">
        <v>393</v>
      </c>
      <c r="F158" s="56" t="s">
        <v>394</v>
      </c>
      <c r="G158" s="56" t="s">
        <v>48</v>
      </c>
      <c r="H158" s="56">
        <v>250</v>
      </c>
      <c r="I158" s="56">
        <v>3339</v>
      </c>
      <c r="J158" s="65">
        <v>5.64</v>
      </c>
    </row>
    <row r="159" spans="1:10">
      <c r="A159" s="56" t="s">
        <v>340</v>
      </c>
      <c r="B159" s="56" t="s">
        <v>341</v>
      </c>
      <c r="C159" s="56" t="s">
        <v>372</v>
      </c>
      <c r="D159" s="56" t="s">
        <v>513</v>
      </c>
      <c r="E159" s="56" t="s">
        <v>395</v>
      </c>
      <c r="F159" s="56" t="s">
        <v>396</v>
      </c>
      <c r="G159" s="56" t="s">
        <v>48</v>
      </c>
      <c r="H159" s="56">
        <v>241</v>
      </c>
      <c r="I159" s="56">
        <v>6818</v>
      </c>
      <c r="J159" s="65">
        <v>6.7219917012448134</v>
      </c>
    </row>
    <row r="160" spans="1:10">
      <c r="A160" s="56" t="s">
        <v>340</v>
      </c>
      <c r="B160" s="56" t="s">
        <v>341</v>
      </c>
      <c r="C160" s="56" t="s">
        <v>372</v>
      </c>
      <c r="D160" s="56" t="s">
        <v>513</v>
      </c>
      <c r="E160" s="56" t="s">
        <v>397</v>
      </c>
      <c r="F160" s="56" t="s">
        <v>398</v>
      </c>
      <c r="G160" s="56" t="s">
        <v>72</v>
      </c>
      <c r="H160" s="56">
        <v>393</v>
      </c>
      <c r="I160" s="56">
        <v>1629</v>
      </c>
      <c r="J160" s="65">
        <v>7.6081424936386766</v>
      </c>
    </row>
    <row r="161" spans="1:10">
      <c r="A161" s="56" t="s">
        <v>340</v>
      </c>
      <c r="B161" s="56" t="s">
        <v>341</v>
      </c>
      <c r="C161" s="56" t="s">
        <v>372</v>
      </c>
      <c r="D161" s="56" t="s">
        <v>513</v>
      </c>
      <c r="E161" s="56" t="s">
        <v>399</v>
      </c>
      <c r="F161" s="56" t="s">
        <v>400</v>
      </c>
      <c r="G161" s="56" t="s">
        <v>72</v>
      </c>
      <c r="H161" s="56">
        <v>84</v>
      </c>
      <c r="I161" s="56">
        <v>1515</v>
      </c>
      <c r="J161" s="65">
        <v>7.4404761904761907</v>
      </c>
    </row>
    <row r="162" spans="1:10">
      <c r="A162" s="56" t="s">
        <v>340</v>
      </c>
      <c r="B162" s="56" t="s">
        <v>341</v>
      </c>
      <c r="C162" s="56" t="s">
        <v>372</v>
      </c>
      <c r="D162" s="56" t="s">
        <v>513</v>
      </c>
      <c r="E162" s="56" t="s">
        <v>401</v>
      </c>
      <c r="F162" s="56" t="s">
        <v>402</v>
      </c>
      <c r="G162" s="56" t="s">
        <v>48</v>
      </c>
      <c r="H162" s="56">
        <v>65</v>
      </c>
      <c r="I162" s="56">
        <v>4380</v>
      </c>
      <c r="J162" s="65">
        <v>6.3333333333333339</v>
      </c>
    </row>
    <row r="163" spans="1:10">
      <c r="A163" s="56" t="s">
        <v>340</v>
      </c>
      <c r="B163" s="56" t="s">
        <v>341</v>
      </c>
      <c r="C163" s="56" t="s">
        <v>372</v>
      </c>
      <c r="D163" s="56" t="s">
        <v>513</v>
      </c>
      <c r="E163" s="56" t="s">
        <v>403</v>
      </c>
      <c r="F163" s="56" t="s">
        <v>404</v>
      </c>
      <c r="G163" s="56" t="s">
        <v>88</v>
      </c>
      <c r="H163" s="56">
        <v>199</v>
      </c>
      <c r="I163" s="56">
        <v>1904</v>
      </c>
      <c r="J163" s="65">
        <v>6.5368509212730315</v>
      </c>
    </row>
    <row r="164" spans="1:10">
      <c r="A164" s="56" t="s">
        <v>340</v>
      </c>
      <c r="B164" s="56" t="s">
        <v>341</v>
      </c>
      <c r="C164" s="56" t="s">
        <v>372</v>
      </c>
      <c r="D164" s="56" t="s">
        <v>513</v>
      </c>
      <c r="E164" s="56" t="s">
        <v>405</v>
      </c>
      <c r="F164" s="56" t="s">
        <v>406</v>
      </c>
      <c r="G164" s="56" t="s">
        <v>48</v>
      </c>
      <c r="H164" s="56">
        <v>28</v>
      </c>
      <c r="I164" s="56">
        <v>6619</v>
      </c>
      <c r="J164" s="65">
        <v>4.8809523809523805</v>
      </c>
    </row>
    <row r="165" spans="1:10">
      <c r="A165" s="56" t="s">
        <v>407</v>
      </c>
      <c r="B165" s="56" t="s">
        <v>408</v>
      </c>
      <c r="C165" s="56" t="s">
        <v>409</v>
      </c>
      <c r="D165" s="56" t="s">
        <v>514</v>
      </c>
      <c r="E165" s="56" t="s">
        <v>410</v>
      </c>
      <c r="F165" s="56" t="s">
        <v>411</v>
      </c>
      <c r="G165" s="56" t="s">
        <v>48</v>
      </c>
      <c r="H165" s="56">
        <v>341</v>
      </c>
      <c r="I165" s="56">
        <v>4083</v>
      </c>
      <c r="J165" s="65">
        <v>6.5102639296187688</v>
      </c>
    </row>
    <row r="166" spans="1:10">
      <c r="A166" s="56" t="s">
        <v>407</v>
      </c>
      <c r="B166" s="56" t="s">
        <v>408</v>
      </c>
      <c r="C166" s="56" t="s">
        <v>409</v>
      </c>
      <c r="D166" s="56" t="s">
        <v>514</v>
      </c>
      <c r="E166" s="56" t="s">
        <v>412</v>
      </c>
      <c r="F166" s="56" t="s">
        <v>413</v>
      </c>
      <c r="G166" s="56" t="s">
        <v>48</v>
      </c>
      <c r="H166" s="56">
        <v>495</v>
      </c>
      <c r="I166" s="56">
        <v>6583</v>
      </c>
      <c r="J166" s="65">
        <v>5.9713804713804715</v>
      </c>
    </row>
    <row r="167" spans="1:10">
      <c r="A167" s="56" t="s">
        <v>407</v>
      </c>
      <c r="B167" s="56" t="s">
        <v>408</v>
      </c>
      <c r="C167" s="56" t="s">
        <v>409</v>
      </c>
      <c r="D167" s="56" t="s">
        <v>514</v>
      </c>
      <c r="E167" s="56" t="s">
        <v>414</v>
      </c>
      <c r="F167" s="56" t="s">
        <v>415</v>
      </c>
      <c r="G167" s="56" t="s">
        <v>55</v>
      </c>
      <c r="H167" s="56">
        <v>127</v>
      </c>
      <c r="I167" s="56">
        <v>3572</v>
      </c>
      <c r="J167" s="65">
        <v>6.9619422572178475</v>
      </c>
    </row>
    <row r="168" spans="1:10">
      <c r="A168" s="56" t="s">
        <v>407</v>
      </c>
      <c r="B168" s="56" t="s">
        <v>408</v>
      </c>
      <c r="C168" s="56" t="s">
        <v>409</v>
      </c>
      <c r="D168" s="56" t="s">
        <v>514</v>
      </c>
      <c r="E168" s="56" t="s">
        <v>416</v>
      </c>
      <c r="F168" s="56" t="s">
        <v>417</v>
      </c>
      <c r="G168" s="56" t="s">
        <v>48</v>
      </c>
      <c r="H168" s="56">
        <v>119</v>
      </c>
      <c r="I168" s="56">
        <v>3724</v>
      </c>
      <c r="J168" s="65">
        <v>7.3389355742296924</v>
      </c>
    </row>
    <row r="169" spans="1:10">
      <c r="A169" s="56" t="s">
        <v>407</v>
      </c>
      <c r="B169" s="56" t="s">
        <v>408</v>
      </c>
      <c r="C169" s="56" t="s">
        <v>409</v>
      </c>
      <c r="D169" s="56" t="s">
        <v>514</v>
      </c>
      <c r="E169" s="56" t="s">
        <v>418</v>
      </c>
      <c r="F169" s="56" t="s">
        <v>419</v>
      </c>
      <c r="G169" s="56" t="s">
        <v>55</v>
      </c>
      <c r="H169" s="56">
        <v>190</v>
      </c>
      <c r="I169" s="56">
        <v>2529</v>
      </c>
      <c r="J169" s="65">
        <v>5.6140350877192988</v>
      </c>
    </row>
    <row r="170" spans="1:10">
      <c r="A170" s="56" t="s">
        <v>407</v>
      </c>
      <c r="B170" s="56" t="s">
        <v>408</v>
      </c>
      <c r="C170" s="56" t="s">
        <v>409</v>
      </c>
      <c r="D170" s="56" t="s">
        <v>514</v>
      </c>
      <c r="E170" s="56" t="s">
        <v>420</v>
      </c>
      <c r="F170" s="56" t="s">
        <v>421</v>
      </c>
      <c r="G170" s="56" t="s">
        <v>48</v>
      </c>
      <c r="H170" s="56">
        <v>809</v>
      </c>
      <c r="I170" s="56">
        <v>17279</v>
      </c>
      <c r="J170" s="65">
        <v>6.5234857849196537</v>
      </c>
    </row>
    <row r="171" spans="1:10">
      <c r="A171" s="56" t="s">
        <v>407</v>
      </c>
      <c r="B171" s="56" t="s">
        <v>408</v>
      </c>
      <c r="C171" s="56" t="s">
        <v>409</v>
      </c>
      <c r="D171" s="56" t="s">
        <v>514</v>
      </c>
      <c r="E171" s="56" t="s">
        <v>422</v>
      </c>
      <c r="F171" s="56" t="s">
        <v>423</v>
      </c>
      <c r="G171" s="56" t="s">
        <v>48</v>
      </c>
      <c r="H171" s="56">
        <v>613</v>
      </c>
      <c r="I171" s="56">
        <v>4700</v>
      </c>
      <c r="J171" s="65">
        <v>5.9081022294725392</v>
      </c>
    </row>
    <row r="172" spans="1:10">
      <c r="A172" s="56" t="s">
        <v>407</v>
      </c>
      <c r="B172" s="56" t="s">
        <v>408</v>
      </c>
      <c r="C172" s="56" t="s">
        <v>424</v>
      </c>
      <c r="D172" s="56" t="s">
        <v>515</v>
      </c>
      <c r="E172" s="56" t="s">
        <v>425</v>
      </c>
      <c r="F172" s="56" t="s">
        <v>426</v>
      </c>
      <c r="G172" s="56" t="s">
        <v>48</v>
      </c>
      <c r="H172" s="56">
        <v>1080</v>
      </c>
      <c r="I172" s="56">
        <v>7667</v>
      </c>
      <c r="J172" s="65">
        <v>6.1288580246913584</v>
      </c>
    </row>
    <row r="173" spans="1:10">
      <c r="A173" s="56" t="s">
        <v>407</v>
      </c>
      <c r="B173" s="56" t="s">
        <v>408</v>
      </c>
      <c r="C173" s="56" t="s">
        <v>424</v>
      </c>
      <c r="D173" s="56" t="s">
        <v>515</v>
      </c>
      <c r="E173" s="56" t="s">
        <v>427</v>
      </c>
      <c r="F173" s="56" t="s">
        <v>428</v>
      </c>
      <c r="G173" s="56" t="s">
        <v>55</v>
      </c>
      <c r="H173" s="56">
        <v>341</v>
      </c>
      <c r="I173" s="56">
        <v>7475</v>
      </c>
      <c r="J173" s="65">
        <v>6.6202346041055717</v>
      </c>
    </row>
    <row r="174" spans="1:10">
      <c r="A174" s="56" t="s">
        <v>407</v>
      </c>
      <c r="B174" s="56" t="s">
        <v>408</v>
      </c>
      <c r="C174" s="56" t="s">
        <v>424</v>
      </c>
      <c r="D174" s="56" t="s">
        <v>515</v>
      </c>
      <c r="E174" s="56" t="s">
        <v>429</v>
      </c>
      <c r="F174" s="56" t="s">
        <v>430</v>
      </c>
      <c r="G174" s="56" t="s">
        <v>48</v>
      </c>
      <c r="H174" s="56">
        <v>85</v>
      </c>
      <c r="I174" s="56">
        <v>4937</v>
      </c>
      <c r="J174" s="65">
        <v>6.4803921568627452</v>
      </c>
    </row>
    <row r="175" spans="1:10">
      <c r="A175" s="56" t="s">
        <v>407</v>
      </c>
      <c r="B175" s="56" t="s">
        <v>408</v>
      </c>
      <c r="C175" s="56" t="s">
        <v>424</v>
      </c>
      <c r="D175" s="56" t="s">
        <v>515</v>
      </c>
      <c r="E175" s="56" t="s">
        <v>431</v>
      </c>
      <c r="F175" s="56" t="s">
        <v>432</v>
      </c>
      <c r="G175" s="56" t="s">
        <v>48</v>
      </c>
      <c r="H175" s="56">
        <v>16</v>
      </c>
      <c r="I175" s="56">
        <v>6701</v>
      </c>
      <c r="J175" s="65">
        <v>4.583333333333333</v>
      </c>
    </row>
    <row r="176" spans="1:10">
      <c r="A176" s="56" t="s">
        <v>407</v>
      </c>
      <c r="B176" s="56" t="s">
        <v>408</v>
      </c>
      <c r="C176" s="56" t="s">
        <v>424</v>
      </c>
      <c r="D176" s="56" t="s">
        <v>515</v>
      </c>
      <c r="E176" s="56" t="s">
        <v>433</v>
      </c>
      <c r="F176" s="56" t="s">
        <v>434</v>
      </c>
      <c r="G176" s="56" t="s">
        <v>178</v>
      </c>
      <c r="H176" s="56">
        <v>225</v>
      </c>
      <c r="I176" s="56">
        <v>2941</v>
      </c>
      <c r="J176" s="65">
        <v>5.7629629629629635</v>
      </c>
    </row>
    <row r="177" spans="1:10">
      <c r="A177" s="56" t="s">
        <v>407</v>
      </c>
      <c r="B177" s="56" t="s">
        <v>408</v>
      </c>
      <c r="C177" s="56" t="s">
        <v>424</v>
      </c>
      <c r="D177" s="56" t="s">
        <v>515</v>
      </c>
      <c r="E177" s="56" t="s">
        <v>435</v>
      </c>
      <c r="F177" s="56" t="s">
        <v>436</v>
      </c>
      <c r="G177" s="56" t="s">
        <v>48</v>
      </c>
      <c r="H177" s="56">
        <v>193</v>
      </c>
      <c r="I177" s="56">
        <v>5503</v>
      </c>
      <c r="J177" s="65">
        <v>6.3687392055267704</v>
      </c>
    </row>
    <row r="178" spans="1:10">
      <c r="A178" s="56" t="s">
        <v>407</v>
      </c>
      <c r="B178" s="56" t="s">
        <v>408</v>
      </c>
      <c r="C178" s="56" t="s">
        <v>424</v>
      </c>
      <c r="D178" s="56" t="s">
        <v>515</v>
      </c>
      <c r="E178" s="56" t="s">
        <v>437</v>
      </c>
      <c r="F178" s="56" t="s">
        <v>438</v>
      </c>
      <c r="G178" s="56" t="s">
        <v>48</v>
      </c>
      <c r="H178" s="56">
        <v>3844</v>
      </c>
      <c r="I178" s="56">
        <v>8414</v>
      </c>
      <c r="J178" s="65">
        <v>7.6031911203607354</v>
      </c>
    </row>
    <row r="179" spans="1:10">
      <c r="A179" s="56" t="s">
        <v>407</v>
      </c>
      <c r="B179" s="56" t="s">
        <v>408</v>
      </c>
      <c r="C179" s="56" t="s">
        <v>424</v>
      </c>
      <c r="D179" s="56" t="s">
        <v>515</v>
      </c>
      <c r="E179" s="56" t="s">
        <v>439</v>
      </c>
      <c r="F179" s="56" t="s">
        <v>440</v>
      </c>
      <c r="G179" s="56" t="s">
        <v>48</v>
      </c>
      <c r="H179" s="56">
        <v>10</v>
      </c>
      <c r="I179" s="56">
        <v>9570</v>
      </c>
      <c r="J179" s="65">
        <v>6.833333333333333</v>
      </c>
    </row>
    <row r="180" spans="1:10">
      <c r="A180" s="56" t="s">
        <v>407</v>
      </c>
      <c r="B180" s="56" t="s">
        <v>408</v>
      </c>
      <c r="C180" s="56" t="s">
        <v>424</v>
      </c>
      <c r="D180" s="56" t="s">
        <v>515</v>
      </c>
      <c r="E180" s="56" t="s">
        <v>441</v>
      </c>
      <c r="F180" s="56" t="s">
        <v>442</v>
      </c>
      <c r="G180" s="56" t="s">
        <v>48</v>
      </c>
      <c r="H180" s="56">
        <v>430</v>
      </c>
      <c r="I180" s="56">
        <v>8896</v>
      </c>
      <c r="J180" s="65">
        <v>6.4050387596899219</v>
      </c>
    </row>
    <row r="181" spans="1:10">
      <c r="A181" s="56" t="s">
        <v>407</v>
      </c>
      <c r="B181" s="56" t="s">
        <v>408</v>
      </c>
      <c r="C181" s="56" t="s">
        <v>424</v>
      </c>
      <c r="D181" s="56" t="s">
        <v>515</v>
      </c>
      <c r="E181" s="56" t="s">
        <v>443</v>
      </c>
      <c r="F181" s="56" t="s">
        <v>444</v>
      </c>
      <c r="G181" s="56" t="s">
        <v>55</v>
      </c>
      <c r="H181" s="56">
        <v>2054</v>
      </c>
      <c r="I181" s="56">
        <v>7604</v>
      </c>
      <c r="J181" s="65">
        <v>6.5238558909444988</v>
      </c>
    </row>
    <row r="182" spans="1:10">
      <c r="A182" s="56" t="s">
        <v>407</v>
      </c>
      <c r="B182" s="56" t="s">
        <v>408</v>
      </c>
      <c r="C182" s="56" t="s">
        <v>424</v>
      </c>
      <c r="D182" s="56" t="s">
        <v>515</v>
      </c>
      <c r="E182" s="56" t="s">
        <v>445</v>
      </c>
      <c r="F182" s="56" t="s">
        <v>446</v>
      </c>
      <c r="G182" s="56" t="s">
        <v>48</v>
      </c>
      <c r="H182" s="56">
        <v>535</v>
      </c>
      <c r="I182" s="56">
        <v>16274</v>
      </c>
      <c r="J182" s="65">
        <v>6.9049844236760123</v>
      </c>
    </row>
    <row r="183" spans="1:10">
      <c r="A183" s="56" t="s">
        <v>407</v>
      </c>
      <c r="B183" s="56" t="s">
        <v>408</v>
      </c>
      <c r="C183" s="56" t="s">
        <v>447</v>
      </c>
      <c r="D183" s="56" t="s">
        <v>516</v>
      </c>
      <c r="E183" s="56" t="s">
        <v>448</v>
      </c>
      <c r="F183" s="56" t="s">
        <v>449</v>
      </c>
      <c r="G183" s="56" t="s">
        <v>48</v>
      </c>
      <c r="H183" s="56">
        <v>1220</v>
      </c>
      <c r="I183" s="56">
        <v>4729</v>
      </c>
      <c r="J183" s="65">
        <v>6.7199453551912569</v>
      </c>
    </row>
    <row r="184" spans="1:10">
      <c r="A184" s="56" t="s">
        <v>407</v>
      </c>
      <c r="B184" s="56" t="s">
        <v>408</v>
      </c>
      <c r="C184" s="56" t="s">
        <v>447</v>
      </c>
      <c r="D184" s="56" t="s">
        <v>516</v>
      </c>
      <c r="E184" s="56" t="s">
        <v>450</v>
      </c>
      <c r="F184" s="56" t="s">
        <v>451</v>
      </c>
      <c r="G184" s="56" t="s">
        <v>48</v>
      </c>
      <c r="H184" s="56">
        <v>1473</v>
      </c>
      <c r="I184" s="56">
        <v>8825</v>
      </c>
      <c r="J184" s="65">
        <v>6.4030323602625021</v>
      </c>
    </row>
    <row r="185" spans="1:10">
      <c r="A185" s="56" t="s">
        <v>407</v>
      </c>
      <c r="B185" s="56" t="s">
        <v>408</v>
      </c>
      <c r="C185" s="56" t="s">
        <v>447</v>
      </c>
      <c r="D185" s="56" t="s">
        <v>516</v>
      </c>
      <c r="E185" s="56" t="s">
        <v>452</v>
      </c>
      <c r="F185" s="56" t="s">
        <v>453</v>
      </c>
      <c r="G185" s="56" t="s">
        <v>55</v>
      </c>
      <c r="H185" s="56">
        <v>593</v>
      </c>
      <c r="I185" s="56">
        <v>3062</v>
      </c>
      <c r="J185" s="65">
        <v>7.0292299044406965</v>
      </c>
    </row>
    <row r="186" spans="1:10">
      <c r="A186" s="56" t="s">
        <v>407</v>
      </c>
      <c r="B186" s="56" t="s">
        <v>408</v>
      </c>
      <c r="C186" s="56" t="s">
        <v>447</v>
      </c>
      <c r="D186" s="56" t="s">
        <v>516</v>
      </c>
      <c r="E186" s="56" t="s">
        <v>454</v>
      </c>
      <c r="F186" s="56" t="s">
        <v>455</v>
      </c>
      <c r="G186" s="56" t="s">
        <v>48</v>
      </c>
      <c r="H186" s="56">
        <v>318</v>
      </c>
      <c r="I186" s="56">
        <v>6514</v>
      </c>
      <c r="J186" s="65">
        <v>4.9030398322851152</v>
      </c>
    </row>
    <row r="187" spans="1:10">
      <c r="A187" s="56" t="s">
        <v>407</v>
      </c>
      <c r="B187" s="56" t="s">
        <v>408</v>
      </c>
      <c r="C187" s="56" t="s">
        <v>447</v>
      </c>
      <c r="D187" s="56" t="s">
        <v>516</v>
      </c>
      <c r="E187" s="56" t="s">
        <v>456</v>
      </c>
      <c r="F187" s="56" t="s">
        <v>457</v>
      </c>
      <c r="G187" s="56" t="s">
        <v>48</v>
      </c>
      <c r="H187" s="56">
        <v>155</v>
      </c>
      <c r="I187" s="56">
        <v>9445</v>
      </c>
      <c r="J187" s="65">
        <v>4.6881720430107521</v>
      </c>
    </row>
    <row r="188" spans="1:10">
      <c r="A188" s="56" t="s">
        <v>407</v>
      </c>
      <c r="B188" s="56" t="s">
        <v>408</v>
      </c>
      <c r="C188" s="56" t="s">
        <v>458</v>
      </c>
      <c r="D188" s="56" t="s">
        <v>517</v>
      </c>
      <c r="E188" s="56" t="s">
        <v>459</v>
      </c>
      <c r="F188" s="56" t="s">
        <v>460</v>
      </c>
      <c r="G188" s="56" t="s">
        <v>48</v>
      </c>
      <c r="H188" s="56">
        <v>163</v>
      </c>
      <c r="I188" s="56">
        <v>3486</v>
      </c>
      <c r="J188" s="65">
        <v>6.7331288343558287</v>
      </c>
    </row>
    <row r="189" spans="1:10">
      <c r="A189" s="56" t="s">
        <v>407</v>
      </c>
      <c r="B189" s="56" t="s">
        <v>408</v>
      </c>
      <c r="C189" s="56" t="s">
        <v>458</v>
      </c>
      <c r="D189" s="56" t="s">
        <v>517</v>
      </c>
      <c r="E189" s="56" t="s">
        <v>461</v>
      </c>
      <c r="F189" s="56" t="s">
        <v>462</v>
      </c>
      <c r="G189" s="56" t="s">
        <v>55</v>
      </c>
      <c r="H189" s="56">
        <v>399</v>
      </c>
      <c r="I189" s="56">
        <v>3247</v>
      </c>
      <c r="J189" s="65">
        <v>6.7293233082706765</v>
      </c>
    </row>
    <row r="190" spans="1:10">
      <c r="A190" s="56" t="s">
        <v>407</v>
      </c>
      <c r="B190" s="56" t="s">
        <v>408</v>
      </c>
      <c r="C190" s="56" t="s">
        <v>458</v>
      </c>
      <c r="D190" s="56" t="s">
        <v>517</v>
      </c>
      <c r="E190" s="56" t="s">
        <v>463</v>
      </c>
      <c r="F190" s="56" t="s">
        <v>464</v>
      </c>
      <c r="G190" s="56" t="s">
        <v>48</v>
      </c>
      <c r="H190" s="56">
        <v>164</v>
      </c>
      <c r="I190" s="56">
        <v>6226</v>
      </c>
      <c r="J190" s="65">
        <v>6.524390243902439</v>
      </c>
    </row>
    <row r="191" spans="1:10">
      <c r="A191" s="56" t="s">
        <v>407</v>
      </c>
      <c r="B191" s="56" t="s">
        <v>408</v>
      </c>
      <c r="C191" s="56" t="s">
        <v>458</v>
      </c>
      <c r="D191" s="56" t="s">
        <v>517</v>
      </c>
      <c r="E191" s="56" t="s">
        <v>465</v>
      </c>
      <c r="F191" s="56" t="s">
        <v>466</v>
      </c>
      <c r="G191" s="56" t="s">
        <v>48</v>
      </c>
      <c r="H191" s="56">
        <v>236</v>
      </c>
      <c r="I191" s="56">
        <v>6344</v>
      </c>
      <c r="J191" s="65">
        <v>6.253531073446327</v>
      </c>
    </row>
    <row r="192" spans="1:10">
      <c r="A192" s="56" t="s">
        <v>407</v>
      </c>
      <c r="B192" s="56" t="s">
        <v>408</v>
      </c>
      <c r="C192" s="56" t="s">
        <v>458</v>
      </c>
      <c r="D192" s="56" t="s">
        <v>517</v>
      </c>
      <c r="E192" s="56" t="s">
        <v>467</v>
      </c>
      <c r="F192" s="56" t="s">
        <v>468</v>
      </c>
      <c r="G192" s="56" t="s">
        <v>55</v>
      </c>
      <c r="H192" s="56">
        <v>132</v>
      </c>
      <c r="I192" s="56">
        <v>3088</v>
      </c>
      <c r="J192" s="65">
        <v>6.7739898989898988</v>
      </c>
    </row>
    <row r="193" spans="1:10">
      <c r="A193" s="56" t="s">
        <v>407</v>
      </c>
      <c r="B193" s="56" t="s">
        <v>408</v>
      </c>
      <c r="C193" s="56" t="s">
        <v>458</v>
      </c>
      <c r="D193" s="56" t="s">
        <v>517</v>
      </c>
      <c r="E193" s="56" t="s">
        <v>469</v>
      </c>
      <c r="F193" s="56" t="s">
        <v>470</v>
      </c>
      <c r="G193" s="56" t="s">
        <v>88</v>
      </c>
      <c r="H193" s="56">
        <v>943</v>
      </c>
      <c r="I193" s="56">
        <v>3146</v>
      </c>
      <c r="J193" s="65">
        <v>6.9936373276776242</v>
      </c>
    </row>
    <row r="194" spans="1:10">
      <c r="A194" s="56" t="s">
        <v>407</v>
      </c>
      <c r="B194" s="56" t="s">
        <v>408</v>
      </c>
      <c r="C194" s="56" t="s">
        <v>458</v>
      </c>
      <c r="D194" s="56" t="s">
        <v>517</v>
      </c>
      <c r="E194" s="56" t="s">
        <v>471</v>
      </c>
      <c r="F194" s="56" t="s">
        <v>472</v>
      </c>
      <c r="G194" s="56" t="s">
        <v>48</v>
      </c>
      <c r="H194" s="56">
        <v>1850</v>
      </c>
      <c r="I194" s="56">
        <v>8839</v>
      </c>
      <c r="J194" s="65">
        <v>6.4238738738738732</v>
      </c>
    </row>
    <row r="195" spans="1:10">
      <c r="A195" s="56" t="s">
        <v>407</v>
      </c>
      <c r="B195" s="56" t="s">
        <v>408</v>
      </c>
      <c r="C195" s="56" t="s">
        <v>458</v>
      </c>
      <c r="D195" s="56" t="s">
        <v>517</v>
      </c>
      <c r="E195" s="56" t="s">
        <v>473</v>
      </c>
      <c r="F195" s="56" t="s">
        <v>474</v>
      </c>
      <c r="G195" s="56" t="s">
        <v>55</v>
      </c>
      <c r="H195" s="56">
        <v>168</v>
      </c>
      <c r="I195" s="56">
        <v>4520</v>
      </c>
      <c r="J195" s="65">
        <v>7.6438492063492065</v>
      </c>
    </row>
    <row r="196" spans="1:10">
      <c r="A196" s="57" t="s">
        <v>407</v>
      </c>
      <c r="B196" s="57" t="s">
        <v>408</v>
      </c>
      <c r="C196" s="57" t="s">
        <v>458</v>
      </c>
      <c r="D196" s="57" t="s">
        <v>517</v>
      </c>
      <c r="E196" s="57" t="s">
        <v>475</v>
      </c>
      <c r="F196" s="57" t="s">
        <v>476</v>
      </c>
      <c r="G196" s="57" t="s">
        <v>178</v>
      </c>
      <c r="H196" s="57">
        <v>395</v>
      </c>
      <c r="I196" s="57">
        <v>5792</v>
      </c>
      <c r="J196" s="66">
        <v>5.9662447257383961</v>
      </c>
    </row>
  </sheetData>
  <sheetProtection autoFilter="0"/>
  <mergeCells count="10">
    <mergeCell ref="A7:A8"/>
    <mergeCell ref="B7:B8"/>
    <mergeCell ref="C7:C8"/>
    <mergeCell ref="D7:D8"/>
    <mergeCell ref="E7:E8"/>
    <mergeCell ref="G7:G8"/>
    <mergeCell ref="H7:H8"/>
    <mergeCell ref="I7:I8"/>
    <mergeCell ref="J7:J8"/>
    <mergeCell ref="F7:F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Engagement">
              <controlPr defaultSize="0" autoFill="0" autoPict="0" macro="[0]!Engagement">
                <anchor>
                  <from>
                    <xdr:col>4</xdr:col>
                    <xdr:colOff>325269</xdr:colOff>
                    <xdr:row>1</xdr:row>
                    <xdr:rowOff>110374</xdr:rowOff>
                  </from>
                  <to>
                    <xdr:col>5</xdr:col>
                    <xdr:colOff>946376</xdr:colOff>
                    <xdr:row>2</xdr:row>
                    <xdr:rowOff>193678</xdr:rowOff>
                  </to>
                </anchor>
              </controlPr>
            </control>
          </mc:Choice>
        </mc:AlternateContent>
        <mc:AlternateContent xmlns:mc="http://schemas.openxmlformats.org/markup-compatibility/2006">
          <mc:Choice Requires="x14">
            <control shapeId="5122" r:id="rId5" name="Advocacy">
              <controlPr defaultSize="0" autoFill="0" autoPict="0" macro="[0]!Advocacy">
                <anchor>
                  <from>
                    <xdr:col>5</xdr:col>
                    <xdr:colOff>1079449</xdr:colOff>
                    <xdr:row>1</xdr:row>
                    <xdr:rowOff>110374</xdr:rowOff>
                  </from>
                  <to>
                    <xdr:col>5</xdr:col>
                    <xdr:colOff>2338731</xdr:colOff>
                    <xdr:row>2</xdr:row>
                    <xdr:rowOff>193678</xdr:rowOff>
                  </to>
                </anchor>
              </controlPr>
            </control>
          </mc:Choice>
        </mc:AlternateContent>
        <mc:AlternateContent xmlns:mc="http://schemas.openxmlformats.org/markup-compatibility/2006">
          <mc:Choice Requires="x14">
            <control shapeId="5123" r:id="rId6" name="Notes">
              <controlPr defaultSize="0" autoFill="0" autoPict="0" macro="[0]!Notes">
                <anchor>
                  <from>
                    <xdr:col>1</xdr:col>
                    <xdr:colOff>323331</xdr:colOff>
                    <xdr:row>1</xdr:row>
                    <xdr:rowOff>110374</xdr:rowOff>
                  </from>
                  <to>
                    <xdr:col>1</xdr:col>
                    <xdr:colOff>1582613</xdr:colOff>
                    <xdr:row>2</xdr:row>
                    <xdr:rowOff>193678</xdr:rowOff>
                  </to>
                </anchor>
              </controlPr>
            </control>
          </mc:Choice>
        </mc:AlternateContent>
        <mc:AlternateContent xmlns:mc="http://schemas.openxmlformats.org/markup-compatibility/2006">
          <mc:Choice Requires="x14">
            <control shapeId="5124" r:id="rId7" name="Summary">
              <controlPr defaultSize="0" autoFill="0" autoPict="0" macro="[0]!Summary">
                <anchor moveWithCells="1" sizeWithCells="1">
                  <from>
                    <xdr:col>1</xdr:col>
                    <xdr:colOff>1757660</xdr:colOff>
                    <xdr:row>1</xdr:row>
                    <xdr:rowOff>110374</xdr:rowOff>
                  </from>
                  <to>
                    <xdr:col>1</xdr:col>
                    <xdr:colOff>3016942</xdr:colOff>
                    <xdr:row>2</xdr:row>
                    <xdr:rowOff>193678</xdr:rowOff>
                  </to>
                </anchor>
              </controlPr>
            </control>
          </mc:Choice>
        </mc:AlternateContent>
        <mc:AlternateContent xmlns:mc="http://schemas.openxmlformats.org/markup-compatibility/2006">
          <mc:Choice Requires="x14">
            <control shapeId="5125" r:id="rId8" name="Involvement">
              <controlPr defaultSize="0" autoFill="0" autoPict="0" macro="[0]!Involvement">
                <anchor>
                  <from>
                    <xdr:col>5</xdr:col>
                    <xdr:colOff>2471804</xdr:colOff>
                    <xdr:row>1</xdr:row>
                    <xdr:rowOff>110374</xdr:rowOff>
                  </from>
                  <to>
                    <xdr:col>5</xdr:col>
                    <xdr:colOff>3731086</xdr:colOff>
                    <xdr:row>2</xdr:row>
                    <xdr:rowOff>193678</xdr:rowOff>
                  </to>
                </anchor>
              </controlPr>
            </control>
          </mc:Choice>
        </mc:AlternateContent>
        <mc:AlternateContent xmlns:mc="http://schemas.openxmlformats.org/markup-compatibility/2006">
          <mc:Choice Requires="x14">
            <control shapeId="5126" r:id="rId9" name="Motivation">
              <controlPr defaultSize="0" autoFill="0" autoPict="0" macro="[0]!Motivation">
                <anchor>
                  <from>
                    <xdr:col>5</xdr:col>
                    <xdr:colOff>3864160</xdr:colOff>
                    <xdr:row>1</xdr:row>
                    <xdr:rowOff>118630</xdr:rowOff>
                  </from>
                  <to>
                    <xdr:col>5</xdr:col>
                    <xdr:colOff>5123442</xdr:colOff>
                    <xdr:row>3</xdr:row>
                    <xdr:rowOff>1909</xdr:rowOff>
                  </to>
                </anchor>
              </controlPr>
            </control>
          </mc:Choice>
        </mc:AlternateContent>
        <mc:AlternateContent xmlns:mc="http://schemas.openxmlformats.org/markup-compatibility/2006">
          <mc:Choice Requires="x14">
            <control shapeId="5127" r:id="rId10" name="Breakdown">
              <controlPr defaultSize="0" autoFill="0" autoPict="0" macro="[0]!Breakdown">
                <anchor>
                  <from>
                    <xdr:col>3</xdr:col>
                    <xdr:colOff>1807759</xdr:colOff>
                    <xdr:row>1</xdr:row>
                    <xdr:rowOff>110374</xdr:rowOff>
                  </from>
                  <to>
                    <xdr:col>3</xdr:col>
                    <xdr:colOff>3067041</xdr:colOff>
                    <xdr:row>2</xdr:row>
                    <xdr:rowOff>193678</xdr:rowOff>
                  </to>
                </anchor>
              </controlPr>
            </control>
          </mc:Choice>
        </mc:AlternateContent>
        <mc:AlternateContent xmlns:mc="http://schemas.openxmlformats.org/markup-compatibility/2006">
          <mc:Choice Requires="x14">
            <control shapeId="5128" r:id="rId11" name="Scores">
              <controlPr defaultSize="0" autoFill="0" autoPict="0" macro="[1]!MacrosForWebfileForMalwina.Scores">
                <anchor>
                  <from>
                    <xdr:col>3</xdr:col>
                    <xdr:colOff>3200114</xdr:colOff>
                    <xdr:row>1</xdr:row>
                    <xdr:rowOff>110374</xdr:rowOff>
                  </from>
                  <to>
                    <xdr:col>4</xdr:col>
                    <xdr:colOff>192196</xdr:colOff>
                    <xdr:row>2</xdr:row>
                    <xdr:rowOff>193678</xdr:rowOff>
                  </to>
                </anchor>
              </controlPr>
            </control>
          </mc:Choice>
        </mc:AlternateContent>
        <mc:AlternateContent xmlns:mc="http://schemas.openxmlformats.org/markup-compatibility/2006">
          <mc:Choice Requires="x14">
            <control shapeId="5129" r:id="rId12" name="Region code">
              <controlPr defaultSize="0" autoLine="0" autoPict="0" macro="[0]!FilterListsRegionCode">
                <anchor>
                  <from>
                    <xdr:col>3</xdr:col>
                    <xdr:colOff>2954442</xdr:colOff>
                    <xdr:row>4</xdr:row>
                    <xdr:rowOff>114378</xdr:rowOff>
                  </from>
                  <to>
                    <xdr:col>3</xdr:col>
                    <xdr:colOff>3603628</xdr:colOff>
                    <xdr:row>4</xdr:row>
                    <xdr:rowOff>342931</xdr:rowOff>
                  </to>
                </anchor>
              </controlPr>
            </control>
          </mc:Choice>
        </mc:AlternateContent>
        <mc:AlternateContent xmlns:mc="http://schemas.openxmlformats.org/markup-compatibility/2006">
          <mc:Choice Requires="x14">
            <control shapeId="5130" r:id="rId13" name="Reset">
              <controlPr defaultSize="0" autoFill="0" autoPict="0" macro="[0]!Reset">
                <anchor>
                  <from>
                    <xdr:col>5</xdr:col>
                    <xdr:colOff>1874163</xdr:colOff>
                    <xdr:row>4</xdr:row>
                    <xdr:rowOff>114378</xdr:rowOff>
                  </from>
                  <to>
                    <xdr:col>5</xdr:col>
                    <xdr:colOff>2828848</xdr:colOff>
                    <xdr:row>4</xdr:row>
                    <xdr:rowOff>438161</xdr:rowOff>
                  </to>
                </anchor>
              </controlPr>
            </control>
          </mc:Choice>
        </mc:AlternateContent>
        <mc:AlternateContent xmlns:mc="http://schemas.openxmlformats.org/markup-compatibility/2006">
          <mc:Choice Requires="x14">
            <control shapeId="5131" r:id="rId14" name="Region name">
              <controlPr defaultSize="0" autoLine="0" autoPict="0" macro="[0]!FilterListsRegionName">
                <anchor>
                  <from>
                    <xdr:col>3</xdr:col>
                    <xdr:colOff>3651362</xdr:colOff>
                    <xdr:row>4</xdr:row>
                    <xdr:rowOff>114378</xdr:rowOff>
                  </from>
                  <to>
                    <xdr:col>5</xdr:col>
                    <xdr:colOff>1653534</xdr:colOff>
                    <xdr:row>4</xdr:row>
                    <xdr:rowOff>342931</xdr:rowOff>
                  </to>
                </anchor>
              </controlPr>
            </control>
          </mc:Choice>
        </mc:AlternateContent>
        <mc:AlternateContent xmlns:mc="http://schemas.openxmlformats.org/markup-compatibility/2006">
          <mc:Choice Requires="x14">
            <control shapeId="5132" r:id="rId15" name="STP Code">
              <controlPr defaultSize="0" autoLine="0" autoPict="0" macro="[0]!FilterListsSTPCode">
                <anchor>
                  <from>
                    <xdr:col>3</xdr:col>
                    <xdr:colOff>2954442</xdr:colOff>
                    <xdr:row>4</xdr:row>
                    <xdr:rowOff>390546</xdr:rowOff>
                  </from>
                  <to>
                    <xdr:col>3</xdr:col>
                    <xdr:colOff>3603628</xdr:colOff>
                    <xdr:row>4</xdr:row>
                    <xdr:rowOff>619099</xdr:rowOff>
                  </to>
                </anchor>
              </controlPr>
            </control>
          </mc:Choice>
        </mc:AlternateContent>
        <mc:AlternateContent xmlns:mc="http://schemas.openxmlformats.org/markup-compatibility/2006">
          <mc:Choice Requires="x14">
            <control shapeId="5133" r:id="rId16" name="STP Name">
              <controlPr defaultSize="0" autoLine="0" autoPict="0" macro="[0]!FilterListsSTPName">
                <anchor>
                  <from>
                    <xdr:col>3</xdr:col>
                    <xdr:colOff>3651362</xdr:colOff>
                    <xdr:row>4</xdr:row>
                    <xdr:rowOff>390546</xdr:rowOff>
                  </from>
                  <to>
                    <xdr:col>5</xdr:col>
                    <xdr:colOff>1653534</xdr:colOff>
                    <xdr:row>4</xdr:row>
                    <xdr:rowOff>619099</xdr:rowOff>
                  </to>
                </anchor>
              </controlPr>
            </control>
          </mc:Choice>
        </mc:AlternateContent>
        <mc:AlternateContent xmlns:mc="http://schemas.openxmlformats.org/markup-compatibility/2006">
          <mc:Choice Requires="x14">
            <control shapeId="5134" r:id="rId17" name="Org Code">
              <controlPr defaultSize="0" autoLine="0" autoPict="0" macro="[0]!FilterListsOrgCode">
                <anchor>
                  <from>
                    <xdr:col>3</xdr:col>
                    <xdr:colOff>2954442</xdr:colOff>
                    <xdr:row>4</xdr:row>
                    <xdr:rowOff>677295</xdr:rowOff>
                  </from>
                  <to>
                    <xdr:col>3</xdr:col>
                    <xdr:colOff>3603628</xdr:colOff>
                    <xdr:row>4</xdr:row>
                    <xdr:rowOff>905848</xdr:rowOff>
                  </to>
                </anchor>
              </controlPr>
            </control>
          </mc:Choice>
        </mc:AlternateContent>
        <mc:AlternateContent xmlns:mc="http://schemas.openxmlformats.org/markup-compatibility/2006">
          <mc:Choice Requires="x14">
            <control shapeId="5135" r:id="rId18" name="Org Name">
              <controlPr defaultSize="0" autoLine="0" autoPict="0" macro="[0]!FilterListsOrgName">
                <anchor>
                  <from>
                    <xdr:col>3</xdr:col>
                    <xdr:colOff>3651362</xdr:colOff>
                    <xdr:row>4</xdr:row>
                    <xdr:rowOff>677295</xdr:rowOff>
                  </from>
                  <to>
                    <xdr:col>5</xdr:col>
                    <xdr:colOff>1653534</xdr:colOff>
                    <xdr:row>4</xdr:row>
                    <xdr:rowOff>905848</xdr:rowOff>
                  </to>
                </anchor>
              </controlPr>
            </control>
          </mc:Choice>
        </mc:AlternateContent>
        <mc:AlternateContent xmlns:mc="http://schemas.openxmlformats.org/markup-compatibility/2006">
          <mc:Choice Requires="x14">
            <control shapeId="5136" r:id="rId19" name="Setting">
              <controlPr defaultSize="0" autoLine="0" autoPict="0" macro="[0]!FilterCareSetting">
                <anchor>
                  <from>
                    <xdr:col>3</xdr:col>
                    <xdr:colOff>2954442</xdr:colOff>
                    <xdr:row>4</xdr:row>
                    <xdr:rowOff>965102</xdr:rowOff>
                  </from>
                  <to>
                    <xdr:col>5</xdr:col>
                    <xdr:colOff>120734</xdr:colOff>
                    <xdr:row>4</xdr:row>
                    <xdr:rowOff>1203178</xdr:rowOff>
                  </to>
                </anchor>
              </controlPr>
            </control>
          </mc:Choice>
        </mc:AlternateContent>
        <mc:AlternateContent xmlns:mc="http://schemas.openxmlformats.org/markup-compatibility/2006">
          <mc:Choice Requires="x14">
            <control shapeId="5137" r:id="rId20" name="Drop Down Sort">
              <controlPr defaultSize="0" autoLine="0" autoPict="0">
                <anchor>
                  <from>
                    <xdr:col>1</xdr:col>
                    <xdr:colOff>1134992</xdr:colOff>
                    <xdr:row>4</xdr:row>
                    <xdr:rowOff>135542</xdr:rowOff>
                  </from>
                  <to>
                    <xdr:col>1</xdr:col>
                    <xdr:colOff>3082550</xdr:colOff>
                    <xdr:row>4</xdr:row>
                    <xdr:rowOff>383141</xdr:rowOff>
                  </to>
                </anchor>
              </controlPr>
            </control>
          </mc:Choice>
        </mc:AlternateContent>
        <mc:AlternateContent xmlns:mc="http://schemas.openxmlformats.org/markup-compatibility/2006">
          <mc:Choice Requires="x14">
            <control shapeId="5138" r:id="rId21" name="sort">
              <controlPr defaultSize="0" autoFill="0" autoPict="0" macro="[0]!_xludf.Sort">
                <anchor>
                  <from>
                    <xdr:col>1</xdr:col>
                    <xdr:colOff>3336071</xdr:colOff>
                    <xdr:row>4</xdr:row>
                    <xdr:rowOff>114377</xdr:rowOff>
                  </from>
                  <to>
                    <xdr:col>3</xdr:col>
                    <xdr:colOff>16131</xdr:colOff>
                    <xdr:row>4</xdr:row>
                    <xdr:rowOff>438160</xdr:rowOff>
                  </to>
                </anchor>
              </controlPr>
            </control>
          </mc:Choice>
        </mc:AlternateContent>
        <mc:AlternateContent xmlns:mc="http://schemas.openxmlformats.org/markup-compatibility/2006">
          <mc:Choice Requires="x14">
            <control shapeId="5139" r:id="rId22" name="Low">
              <controlPr defaultSize="0" autoFill="0" autoLine="0" autoPict="0">
                <anchor>
                  <from>
                    <xdr:col>1</xdr:col>
                    <xdr:colOff>915415</xdr:colOff>
                    <xdr:row>4</xdr:row>
                    <xdr:rowOff>449802</xdr:rowOff>
                  </from>
                  <to>
                    <xdr:col>1</xdr:col>
                    <xdr:colOff>2013303</xdr:colOff>
                    <xdr:row>4</xdr:row>
                    <xdr:rowOff>773585</xdr:rowOff>
                  </to>
                </anchor>
              </controlPr>
            </control>
          </mc:Choice>
        </mc:AlternateContent>
        <mc:AlternateContent xmlns:mc="http://schemas.openxmlformats.org/markup-compatibility/2006">
          <mc:Choice Requires="x14">
            <control shapeId="5140" r:id="rId23" name="High">
              <controlPr defaultSize="0" autoFill="0" autoLine="0" autoPict="0">
                <anchor>
                  <from>
                    <xdr:col>1</xdr:col>
                    <xdr:colOff>2146959</xdr:colOff>
                    <xdr:row>4</xdr:row>
                    <xdr:rowOff>468848</xdr:rowOff>
                  </from>
                  <to>
                    <xdr:col>1</xdr:col>
                    <xdr:colOff>3111191</xdr:colOff>
                    <xdr:row>4</xdr:row>
                    <xdr:rowOff>764062</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5E6FE-20EE-4023-A655-3A14F91F675B}">
  <sheetPr codeName="Sheet29">
    <tabColor theme="3" tint="0.59999389629810485"/>
  </sheetPr>
  <dimension ref="A1:K196"/>
  <sheetViews>
    <sheetView workbookViewId="0">
      <selection activeCell="E35" sqref="E35"/>
    </sheetView>
  </sheetViews>
  <sheetFormatPr defaultColWidth="9.140625" defaultRowHeight="14.45"/>
  <cols>
    <col min="1" max="1" width="9.5703125" style="12" customWidth="1"/>
    <col min="2" max="2" width="54.42578125" style="12" bestFit="1" customWidth="1"/>
    <col min="3" max="3" width="9.5703125" style="12" customWidth="1"/>
    <col min="4" max="4" width="64" style="12" bestFit="1" customWidth="1"/>
    <col min="5" max="5" width="9.5703125" style="12" customWidth="1"/>
    <col min="6" max="6" width="88.42578125" style="12" bestFit="1" customWidth="1"/>
    <col min="7" max="7" width="81.85546875" style="12" bestFit="1" customWidth="1"/>
    <col min="8" max="8" width="13" style="12" customWidth="1"/>
    <col min="9" max="9" width="12.5703125" style="12" customWidth="1"/>
    <col min="10" max="10" width="20.42578125" style="73" bestFit="1" customWidth="1"/>
    <col min="11" max="11" width="9.140625" style="12"/>
    <col min="12" max="16384" width="9.140625" style="44"/>
  </cols>
  <sheetData>
    <row r="1" spans="1:11" ht="15" customHeight="1">
      <c r="A1" s="44"/>
      <c r="B1" s="44"/>
      <c r="C1" s="44"/>
      <c r="D1" s="44"/>
      <c r="E1" s="44"/>
      <c r="F1" s="44"/>
      <c r="G1" s="44"/>
      <c r="H1" s="44"/>
      <c r="I1" s="44"/>
      <c r="J1" s="74"/>
      <c r="K1" s="44"/>
    </row>
    <row r="2" spans="1:11" ht="30" customHeight="1">
      <c r="A2" s="44"/>
      <c r="B2" s="44"/>
      <c r="C2" s="44"/>
      <c r="D2" s="44"/>
      <c r="E2" s="44"/>
      <c r="F2" s="44"/>
      <c r="G2" s="44"/>
      <c r="H2" s="44"/>
      <c r="I2" s="44"/>
      <c r="J2" s="74"/>
      <c r="K2" s="44"/>
    </row>
    <row r="3" spans="1:11" ht="15.75" customHeight="1">
      <c r="A3" s="44"/>
      <c r="B3" s="44"/>
      <c r="C3" s="44"/>
      <c r="D3" s="44"/>
      <c r="E3" s="44"/>
      <c r="F3" s="44"/>
      <c r="G3" s="44"/>
      <c r="H3" s="44"/>
      <c r="I3" s="44"/>
      <c r="J3" s="74"/>
      <c r="K3" s="44"/>
    </row>
    <row r="4" spans="1:11" ht="15" customHeight="1">
      <c r="A4" s="44"/>
      <c r="B4" s="44"/>
      <c r="C4" s="44"/>
      <c r="D4" s="44"/>
      <c r="E4" s="44"/>
      <c r="F4" s="44"/>
      <c r="G4" s="44"/>
      <c r="H4" s="44"/>
      <c r="I4" s="44"/>
      <c r="J4" s="74"/>
      <c r="K4" s="44"/>
    </row>
    <row r="5" spans="1:11" ht="97.5" customHeight="1">
      <c r="A5" s="44"/>
      <c r="B5" s="44"/>
      <c r="C5" s="44"/>
      <c r="D5" s="44"/>
      <c r="E5" s="44"/>
      <c r="F5" s="44"/>
      <c r="G5" s="44"/>
      <c r="H5" s="44"/>
      <c r="I5" s="44"/>
      <c r="J5" s="74"/>
      <c r="K5" s="44"/>
    </row>
    <row r="6" spans="1:11" ht="9.75" customHeight="1">
      <c r="A6" s="44"/>
      <c r="B6" s="44"/>
      <c r="C6" s="44"/>
      <c r="D6" s="44"/>
      <c r="E6" s="44"/>
      <c r="F6" s="46"/>
      <c r="G6" s="46"/>
      <c r="H6" s="47"/>
      <c r="I6" s="44"/>
      <c r="J6" s="75"/>
      <c r="K6" s="44"/>
    </row>
    <row r="7" spans="1:11" s="49" customFormat="1" ht="15.75" customHeight="1">
      <c r="A7" s="110" t="s">
        <v>32</v>
      </c>
      <c r="B7" s="110" t="s">
        <v>33</v>
      </c>
      <c r="C7" s="110" t="s">
        <v>34</v>
      </c>
      <c r="D7" s="102" t="s">
        <v>35</v>
      </c>
      <c r="E7" s="110" t="s">
        <v>36</v>
      </c>
      <c r="F7" s="102" t="s">
        <v>37</v>
      </c>
      <c r="G7" s="102" t="s">
        <v>38</v>
      </c>
      <c r="H7" s="104" t="s">
        <v>39</v>
      </c>
      <c r="I7" s="106" t="s">
        <v>40</v>
      </c>
      <c r="J7" s="108" t="s">
        <v>519</v>
      </c>
    </row>
    <row r="8" spans="1:11" s="49" customFormat="1" ht="33" customHeight="1">
      <c r="A8" s="110"/>
      <c r="B8" s="110"/>
      <c r="C8" s="102"/>
      <c r="D8" s="103"/>
      <c r="E8" s="102"/>
      <c r="F8" s="103"/>
      <c r="G8" s="103"/>
      <c r="H8" s="105"/>
      <c r="I8" s="107"/>
      <c r="J8" s="109"/>
    </row>
    <row r="9" spans="1:11" s="54" customFormat="1" ht="13.5">
      <c r="A9" s="50"/>
      <c r="B9" s="51"/>
      <c r="C9" s="51"/>
      <c r="D9" s="51"/>
      <c r="E9" s="51"/>
      <c r="F9" s="59" t="s">
        <v>42</v>
      </c>
      <c r="G9" s="60"/>
      <c r="H9" s="58">
        <v>127641</v>
      </c>
      <c r="I9" s="58">
        <v>1180653</v>
      </c>
      <c r="J9" s="69">
        <v>6.4622195585013174</v>
      </c>
    </row>
    <row r="10" spans="1:11" ht="15" customHeight="1">
      <c r="A10" s="55" t="s">
        <v>43</v>
      </c>
      <c r="B10" s="55" t="s">
        <v>44</v>
      </c>
      <c r="C10" s="55" t="s">
        <v>45</v>
      </c>
      <c r="D10" s="55" t="s">
        <v>477</v>
      </c>
      <c r="E10" s="55" t="s">
        <v>46</v>
      </c>
      <c r="F10" s="55" t="s">
        <v>47</v>
      </c>
      <c r="G10" s="55" t="s">
        <v>48</v>
      </c>
      <c r="H10" s="55">
        <v>2724</v>
      </c>
      <c r="I10" s="55">
        <v>22169</v>
      </c>
      <c r="J10" s="64">
        <v>6.4714880078316197</v>
      </c>
    </row>
    <row r="11" spans="1:11" ht="15" customHeight="1">
      <c r="A11" s="56" t="s">
        <v>43</v>
      </c>
      <c r="B11" s="56" t="s">
        <v>44</v>
      </c>
      <c r="C11" s="56" t="s">
        <v>45</v>
      </c>
      <c r="D11" s="56" t="s">
        <v>477</v>
      </c>
      <c r="E11" s="56" t="s">
        <v>49</v>
      </c>
      <c r="F11" s="56" t="s">
        <v>50</v>
      </c>
      <c r="G11" s="56" t="s">
        <v>48</v>
      </c>
      <c r="H11" s="56">
        <v>1285</v>
      </c>
      <c r="I11" s="56">
        <v>13297</v>
      </c>
      <c r="J11" s="65">
        <v>6.2918287937743189</v>
      </c>
    </row>
    <row r="12" spans="1:11" ht="15" customHeight="1">
      <c r="A12" s="56" t="s">
        <v>43</v>
      </c>
      <c r="B12" s="56" t="s">
        <v>44</v>
      </c>
      <c r="C12" s="56" t="s">
        <v>45</v>
      </c>
      <c r="D12" s="56" t="s">
        <v>477</v>
      </c>
      <c r="E12" s="56" t="s">
        <v>51</v>
      </c>
      <c r="F12" s="56" t="s">
        <v>52</v>
      </c>
      <c r="G12" s="56" t="s">
        <v>48</v>
      </c>
      <c r="H12" s="56">
        <v>433</v>
      </c>
      <c r="I12" s="56">
        <v>6850</v>
      </c>
      <c r="J12" s="65">
        <v>5.9699769053117784</v>
      </c>
    </row>
    <row r="13" spans="1:11" ht="15" customHeight="1">
      <c r="A13" s="56" t="s">
        <v>43</v>
      </c>
      <c r="B13" s="56" t="s">
        <v>44</v>
      </c>
      <c r="C13" s="56" t="s">
        <v>45</v>
      </c>
      <c r="D13" s="56" t="s">
        <v>477</v>
      </c>
      <c r="E13" s="56" t="s">
        <v>53</v>
      </c>
      <c r="F13" s="56" t="s">
        <v>54</v>
      </c>
      <c r="G13" s="56" t="s">
        <v>55</v>
      </c>
      <c r="H13" s="56">
        <v>195</v>
      </c>
      <c r="I13" s="56">
        <v>5486</v>
      </c>
      <c r="J13" s="65">
        <v>7.0641025641025639</v>
      </c>
    </row>
    <row r="14" spans="1:11" ht="15" customHeight="1">
      <c r="A14" s="56" t="s">
        <v>43</v>
      </c>
      <c r="B14" s="56" t="s">
        <v>44</v>
      </c>
      <c r="C14" s="56" t="s">
        <v>56</v>
      </c>
      <c r="D14" s="56" t="s">
        <v>478</v>
      </c>
      <c r="E14" s="56" t="s">
        <v>57</v>
      </c>
      <c r="F14" s="56" t="s">
        <v>58</v>
      </c>
      <c r="G14" s="56" t="s">
        <v>48</v>
      </c>
      <c r="H14" s="56">
        <v>435</v>
      </c>
      <c r="I14" s="56">
        <v>17203</v>
      </c>
      <c r="J14" s="65">
        <v>5.8869731800766285</v>
      </c>
    </row>
    <row r="15" spans="1:11" ht="15" customHeight="1">
      <c r="A15" s="56" t="s">
        <v>43</v>
      </c>
      <c r="B15" s="56" t="s">
        <v>44</v>
      </c>
      <c r="C15" s="56" t="s">
        <v>56</v>
      </c>
      <c r="D15" s="56" t="s">
        <v>478</v>
      </c>
      <c r="E15" s="56" t="s">
        <v>59</v>
      </c>
      <c r="F15" s="56" t="s">
        <v>60</v>
      </c>
      <c r="G15" s="56" t="s">
        <v>55</v>
      </c>
      <c r="H15" s="56">
        <v>924</v>
      </c>
      <c r="I15" s="56">
        <v>6545</v>
      </c>
      <c r="J15" s="65">
        <v>6.9678932178932174</v>
      </c>
    </row>
    <row r="16" spans="1:11" ht="15" customHeight="1">
      <c r="A16" s="56" t="s">
        <v>43</v>
      </c>
      <c r="B16" s="56" t="s">
        <v>44</v>
      </c>
      <c r="C16" s="56" t="s">
        <v>56</v>
      </c>
      <c r="D16" s="56" t="s">
        <v>478</v>
      </c>
      <c r="E16" s="56" t="s">
        <v>61</v>
      </c>
      <c r="F16" s="56" t="s">
        <v>62</v>
      </c>
      <c r="G16" s="56" t="s">
        <v>48</v>
      </c>
      <c r="H16" s="56">
        <v>703</v>
      </c>
      <c r="I16" s="56">
        <v>3922</v>
      </c>
      <c r="J16" s="65">
        <v>6.6346609767662406</v>
      </c>
    </row>
    <row r="17" spans="1:10" ht="15" customHeight="1">
      <c r="A17" s="56" t="s">
        <v>43</v>
      </c>
      <c r="B17" s="56" t="s">
        <v>44</v>
      </c>
      <c r="C17" s="56" t="s">
        <v>56</v>
      </c>
      <c r="D17" s="56" t="s">
        <v>478</v>
      </c>
      <c r="E17" s="56" t="s">
        <v>63</v>
      </c>
      <c r="F17" s="56" t="s">
        <v>64</v>
      </c>
      <c r="G17" s="56" t="s">
        <v>55</v>
      </c>
      <c r="H17" s="56">
        <v>616</v>
      </c>
      <c r="I17" s="56">
        <v>6702</v>
      </c>
      <c r="J17" s="65">
        <v>6.5963203463203461</v>
      </c>
    </row>
    <row r="18" spans="1:10" ht="15" customHeight="1">
      <c r="A18" s="56" t="s">
        <v>43</v>
      </c>
      <c r="B18" s="56" t="s">
        <v>44</v>
      </c>
      <c r="C18" s="56" t="s">
        <v>65</v>
      </c>
      <c r="D18" s="56" t="s">
        <v>479</v>
      </c>
      <c r="E18" s="56" t="s">
        <v>66</v>
      </c>
      <c r="F18" s="56" t="s">
        <v>67</v>
      </c>
      <c r="G18" s="56" t="s">
        <v>55</v>
      </c>
      <c r="H18" s="56">
        <v>154</v>
      </c>
      <c r="I18" s="56">
        <v>3407</v>
      </c>
      <c r="J18" s="65">
        <v>6.3095238095238093</v>
      </c>
    </row>
    <row r="19" spans="1:10" ht="15" customHeight="1">
      <c r="A19" s="56" t="s">
        <v>43</v>
      </c>
      <c r="B19" s="56" t="s">
        <v>44</v>
      </c>
      <c r="C19" s="56" t="s">
        <v>65</v>
      </c>
      <c r="D19" s="56" t="s">
        <v>479</v>
      </c>
      <c r="E19" s="56" t="s">
        <v>68</v>
      </c>
      <c r="F19" s="56" t="s">
        <v>69</v>
      </c>
      <c r="G19" s="56" t="s">
        <v>55</v>
      </c>
      <c r="H19" s="56">
        <v>453</v>
      </c>
      <c r="I19" s="56">
        <v>2293</v>
      </c>
      <c r="J19" s="65">
        <v>6.8395879323031643</v>
      </c>
    </row>
    <row r="20" spans="1:10" ht="15" customHeight="1">
      <c r="A20" s="56" t="s">
        <v>43</v>
      </c>
      <c r="B20" s="56" t="s">
        <v>44</v>
      </c>
      <c r="C20" s="56" t="s">
        <v>65</v>
      </c>
      <c r="D20" s="56" t="s">
        <v>479</v>
      </c>
      <c r="E20" s="56" t="s">
        <v>70</v>
      </c>
      <c r="F20" s="56" t="s">
        <v>71</v>
      </c>
      <c r="G20" s="56" t="s">
        <v>72</v>
      </c>
      <c r="H20" s="56">
        <v>962</v>
      </c>
      <c r="I20" s="56">
        <v>5520</v>
      </c>
      <c r="J20" s="65">
        <v>6.661469161469161</v>
      </c>
    </row>
    <row r="21" spans="1:10" ht="15" customHeight="1">
      <c r="A21" s="56" t="s">
        <v>43</v>
      </c>
      <c r="B21" s="56" t="s">
        <v>44</v>
      </c>
      <c r="C21" s="56" t="s">
        <v>65</v>
      </c>
      <c r="D21" s="56" t="s">
        <v>479</v>
      </c>
      <c r="E21" s="56" t="s">
        <v>73</v>
      </c>
      <c r="F21" s="56" t="s">
        <v>74</v>
      </c>
      <c r="G21" s="56" t="s">
        <v>72</v>
      </c>
      <c r="H21" s="56">
        <v>31</v>
      </c>
      <c r="I21" s="56">
        <v>2283</v>
      </c>
      <c r="J21" s="65">
        <v>5.564516129032258</v>
      </c>
    </row>
    <row r="22" spans="1:10" ht="15" customHeight="1">
      <c r="A22" s="56" t="s">
        <v>43</v>
      </c>
      <c r="B22" s="56" t="s">
        <v>44</v>
      </c>
      <c r="C22" s="56" t="s">
        <v>65</v>
      </c>
      <c r="D22" s="56" t="s">
        <v>479</v>
      </c>
      <c r="E22" s="56" t="s">
        <v>75</v>
      </c>
      <c r="F22" s="56" t="s">
        <v>76</v>
      </c>
      <c r="G22" s="56" t="s">
        <v>48</v>
      </c>
      <c r="H22" s="56">
        <v>669</v>
      </c>
      <c r="I22" s="56">
        <v>3818</v>
      </c>
      <c r="J22" s="65">
        <v>6.38515196811161</v>
      </c>
    </row>
    <row r="23" spans="1:10" ht="15" customHeight="1">
      <c r="A23" s="56" t="s">
        <v>43</v>
      </c>
      <c r="B23" s="56" t="s">
        <v>44</v>
      </c>
      <c r="C23" s="56" t="s">
        <v>65</v>
      </c>
      <c r="D23" s="56" t="s">
        <v>479</v>
      </c>
      <c r="E23" s="56" t="s">
        <v>77</v>
      </c>
      <c r="F23" s="56" t="s">
        <v>78</v>
      </c>
      <c r="G23" s="56" t="s">
        <v>48</v>
      </c>
      <c r="H23" s="56">
        <v>672</v>
      </c>
      <c r="I23" s="56">
        <v>10684</v>
      </c>
      <c r="J23" s="65">
        <v>5.6845238095238093</v>
      </c>
    </row>
    <row r="24" spans="1:10" ht="15" customHeight="1">
      <c r="A24" s="56" t="s">
        <v>43</v>
      </c>
      <c r="B24" s="56" t="s">
        <v>44</v>
      </c>
      <c r="C24" s="56" t="s">
        <v>65</v>
      </c>
      <c r="D24" s="56" t="s">
        <v>479</v>
      </c>
      <c r="E24" s="56" t="s">
        <v>79</v>
      </c>
      <c r="F24" s="56" t="s">
        <v>80</v>
      </c>
      <c r="G24" s="56" t="s">
        <v>55</v>
      </c>
      <c r="H24" s="56">
        <v>95</v>
      </c>
      <c r="I24" s="56">
        <v>767</v>
      </c>
      <c r="J24" s="65">
        <v>5.5964912280701746</v>
      </c>
    </row>
    <row r="25" spans="1:10" ht="15" customHeight="1">
      <c r="A25" s="56" t="s">
        <v>43</v>
      </c>
      <c r="B25" s="56" t="s">
        <v>44</v>
      </c>
      <c r="C25" s="56" t="s">
        <v>65</v>
      </c>
      <c r="D25" s="56" t="s">
        <v>479</v>
      </c>
      <c r="E25" s="56" t="s">
        <v>81</v>
      </c>
      <c r="F25" s="56" t="s">
        <v>82</v>
      </c>
      <c r="G25" s="56" t="s">
        <v>48</v>
      </c>
      <c r="H25" s="56">
        <v>508</v>
      </c>
      <c r="I25" s="56">
        <v>10115</v>
      </c>
      <c r="J25" s="65">
        <v>6.9947506561679793</v>
      </c>
    </row>
    <row r="26" spans="1:10" ht="15" customHeight="1">
      <c r="A26" s="56" t="s">
        <v>43</v>
      </c>
      <c r="B26" s="56" t="s">
        <v>44</v>
      </c>
      <c r="C26" s="56" t="s">
        <v>65</v>
      </c>
      <c r="D26" s="56" t="s">
        <v>479</v>
      </c>
      <c r="E26" s="56" t="s">
        <v>83</v>
      </c>
      <c r="F26" s="56" t="s">
        <v>84</v>
      </c>
      <c r="G26" s="56" t="s">
        <v>48</v>
      </c>
      <c r="H26" s="56">
        <v>688</v>
      </c>
      <c r="I26" s="56">
        <v>4464</v>
      </c>
      <c r="J26" s="65">
        <v>6.3832364341085279</v>
      </c>
    </row>
    <row r="27" spans="1:10" ht="15" customHeight="1">
      <c r="A27" s="56" t="s">
        <v>43</v>
      </c>
      <c r="B27" s="56" t="s">
        <v>44</v>
      </c>
      <c r="C27" s="56" t="s">
        <v>85</v>
      </c>
      <c r="D27" s="56" t="s">
        <v>480</v>
      </c>
      <c r="E27" s="56" t="s">
        <v>86</v>
      </c>
      <c r="F27" s="56" t="s">
        <v>87</v>
      </c>
      <c r="G27" s="56" t="s">
        <v>88</v>
      </c>
      <c r="H27" s="56">
        <v>223</v>
      </c>
      <c r="I27" s="56">
        <v>4376</v>
      </c>
      <c r="J27" s="65">
        <v>7.051569506726457</v>
      </c>
    </row>
    <row r="28" spans="1:10" ht="15" customHeight="1">
      <c r="A28" s="56" t="s">
        <v>43</v>
      </c>
      <c r="B28" s="56" t="s">
        <v>44</v>
      </c>
      <c r="C28" s="56" t="s">
        <v>85</v>
      </c>
      <c r="D28" s="56" t="s">
        <v>480</v>
      </c>
      <c r="E28" s="56" t="s">
        <v>89</v>
      </c>
      <c r="F28" s="56" t="s">
        <v>90</v>
      </c>
      <c r="G28" s="56" t="s">
        <v>48</v>
      </c>
      <c r="H28" s="56">
        <v>91</v>
      </c>
      <c r="I28" s="56">
        <v>12988</v>
      </c>
      <c r="J28" s="65">
        <v>6.0714285714285712</v>
      </c>
    </row>
    <row r="29" spans="1:10" ht="15" customHeight="1">
      <c r="A29" s="56" t="s">
        <v>43</v>
      </c>
      <c r="B29" s="56" t="s">
        <v>44</v>
      </c>
      <c r="C29" s="56" t="s">
        <v>85</v>
      </c>
      <c r="D29" s="56" t="s">
        <v>480</v>
      </c>
      <c r="E29" s="56" t="s">
        <v>91</v>
      </c>
      <c r="F29" s="56" t="s">
        <v>92</v>
      </c>
      <c r="G29" s="56" t="s">
        <v>72</v>
      </c>
      <c r="H29" s="56">
        <v>74</v>
      </c>
      <c r="I29" s="56">
        <v>1574</v>
      </c>
      <c r="J29" s="65">
        <v>7.0270270270270272</v>
      </c>
    </row>
    <row r="30" spans="1:10" ht="15" customHeight="1">
      <c r="A30" s="56" t="s">
        <v>43</v>
      </c>
      <c r="B30" s="56" t="s">
        <v>44</v>
      </c>
      <c r="C30" s="56" t="s">
        <v>85</v>
      </c>
      <c r="D30" s="56" t="s">
        <v>480</v>
      </c>
      <c r="E30" s="56" t="s">
        <v>93</v>
      </c>
      <c r="F30" s="56" t="s">
        <v>94</v>
      </c>
      <c r="G30" s="56" t="s">
        <v>48</v>
      </c>
      <c r="H30" s="56">
        <v>62</v>
      </c>
      <c r="I30" s="56">
        <v>3572</v>
      </c>
      <c r="J30" s="65">
        <v>7.150537634408602</v>
      </c>
    </row>
    <row r="31" spans="1:10" ht="15" customHeight="1">
      <c r="A31" s="56" t="s">
        <v>43</v>
      </c>
      <c r="B31" s="56" t="s">
        <v>44</v>
      </c>
      <c r="C31" s="56" t="s">
        <v>85</v>
      </c>
      <c r="D31" s="56" t="s">
        <v>480</v>
      </c>
      <c r="E31" s="56" t="s">
        <v>95</v>
      </c>
      <c r="F31" s="56" t="s">
        <v>96</v>
      </c>
      <c r="G31" s="56" t="s">
        <v>72</v>
      </c>
      <c r="H31" s="56">
        <v>362</v>
      </c>
      <c r="I31" s="56">
        <v>4293</v>
      </c>
      <c r="J31" s="65">
        <v>6.4203499079189683</v>
      </c>
    </row>
    <row r="32" spans="1:10" ht="15" customHeight="1">
      <c r="A32" s="56" t="s">
        <v>43</v>
      </c>
      <c r="B32" s="56" t="s">
        <v>44</v>
      </c>
      <c r="C32" s="56" t="s">
        <v>97</v>
      </c>
      <c r="D32" s="56" t="s">
        <v>481</v>
      </c>
      <c r="E32" s="56" t="s">
        <v>98</v>
      </c>
      <c r="F32" s="56" t="s">
        <v>99</v>
      </c>
      <c r="G32" s="56" t="s">
        <v>48</v>
      </c>
      <c r="H32" s="56">
        <v>521</v>
      </c>
      <c r="I32" s="56">
        <v>6858</v>
      </c>
      <c r="J32" s="65">
        <v>5.7933461292386443</v>
      </c>
    </row>
    <row r="33" spans="1:11" ht="15" customHeight="1">
      <c r="A33" s="56" t="s">
        <v>43</v>
      </c>
      <c r="B33" s="56" t="s">
        <v>44</v>
      </c>
      <c r="C33" s="56" t="s">
        <v>97</v>
      </c>
      <c r="D33" s="56" t="s">
        <v>481</v>
      </c>
      <c r="E33" s="56" t="s">
        <v>100</v>
      </c>
      <c r="F33" s="56" t="s">
        <v>101</v>
      </c>
      <c r="G33" s="56" t="s">
        <v>88</v>
      </c>
      <c r="H33" s="56">
        <v>96</v>
      </c>
      <c r="I33" s="56">
        <v>1244</v>
      </c>
      <c r="J33" s="65">
        <v>6.9618055555555562</v>
      </c>
    </row>
    <row r="34" spans="1:11" ht="15" customHeight="1">
      <c r="A34" s="56" t="s">
        <v>43</v>
      </c>
      <c r="B34" s="56" t="s">
        <v>44</v>
      </c>
      <c r="C34" s="56" t="s">
        <v>97</v>
      </c>
      <c r="D34" s="56" t="s">
        <v>481</v>
      </c>
      <c r="E34" s="56" t="s">
        <v>102</v>
      </c>
      <c r="F34" s="56" t="s">
        <v>103</v>
      </c>
      <c r="G34" s="56" t="s">
        <v>55</v>
      </c>
      <c r="H34" s="56">
        <v>126</v>
      </c>
      <c r="I34" s="56">
        <v>2612</v>
      </c>
      <c r="J34" s="65">
        <v>6.9642857142857144</v>
      </c>
    </row>
    <row r="35" spans="1:11" ht="15" customHeight="1">
      <c r="A35" s="56" t="s">
        <v>43</v>
      </c>
      <c r="B35" s="56" t="s">
        <v>44</v>
      </c>
      <c r="C35" s="56" t="s">
        <v>97</v>
      </c>
      <c r="D35" s="56" t="s">
        <v>481</v>
      </c>
      <c r="E35" s="56" t="s">
        <v>104</v>
      </c>
      <c r="F35" s="56" t="s">
        <v>105</v>
      </c>
      <c r="G35" s="56" t="s">
        <v>48</v>
      </c>
      <c r="H35" s="56">
        <v>901</v>
      </c>
      <c r="I35" s="56">
        <v>9298</v>
      </c>
      <c r="J35" s="65">
        <v>5.9702182759896418</v>
      </c>
    </row>
    <row r="36" spans="1:11" ht="15" customHeight="1">
      <c r="A36" s="56" t="s">
        <v>106</v>
      </c>
      <c r="B36" s="56" t="s">
        <v>107</v>
      </c>
      <c r="C36" s="56" t="s">
        <v>108</v>
      </c>
      <c r="D36" s="56" t="s">
        <v>482</v>
      </c>
      <c r="E36" s="56" t="s">
        <v>109</v>
      </c>
      <c r="F36" s="56" t="s">
        <v>110</v>
      </c>
      <c r="G36" s="56" t="s">
        <v>55</v>
      </c>
      <c r="H36" s="56">
        <v>94</v>
      </c>
      <c r="I36" s="56">
        <v>3602</v>
      </c>
      <c r="J36" s="65">
        <v>7.0921985815602833</v>
      </c>
    </row>
    <row r="37" spans="1:11" ht="15" customHeight="1">
      <c r="A37" s="56" t="s">
        <v>106</v>
      </c>
      <c r="B37" s="56" t="s">
        <v>107</v>
      </c>
      <c r="C37" s="56" t="s">
        <v>108</v>
      </c>
      <c r="D37" s="56" t="s">
        <v>482</v>
      </c>
      <c r="E37" s="56" t="s">
        <v>111</v>
      </c>
      <c r="F37" s="56" t="s">
        <v>112</v>
      </c>
      <c r="G37" s="56" t="s">
        <v>48</v>
      </c>
      <c r="H37" s="56">
        <v>1343</v>
      </c>
      <c r="I37" s="56">
        <v>0</v>
      </c>
      <c r="J37" s="65">
        <v>6.5605609332340533</v>
      </c>
    </row>
    <row r="38" spans="1:11" ht="15" customHeight="1">
      <c r="A38" s="56" t="s">
        <v>106</v>
      </c>
      <c r="B38" s="56" t="s">
        <v>107</v>
      </c>
      <c r="C38" s="56" t="s">
        <v>108</v>
      </c>
      <c r="D38" s="56" t="s">
        <v>482</v>
      </c>
      <c r="E38" s="56" t="s">
        <v>113</v>
      </c>
      <c r="F38" s="56" t="s">
        <v>114</v>
      </c>
      <c r="G38" s="56" t="s">
        <v>48</v>
      </c>
      <c r="H38" s="56">
        <v>208</v>
      </c>
      <c r="I38" s="56">
        <v>6744</v>
      </c>
      <c r="J38" s="65">
        <v>5.8934294871794872</v>
      </c>
    </row>
    <row r="39" spans="1:11" ht="15" customHeight="1">
      <c r="A39" s="56" t="s">
        <v>106</v>
      </c>
      <c r="B39" s="56" t="s">
        <v>107</v>
      </c>
      <c r="C39" s="56" t="s">
        <v>108</v>
      </c>
      <c r="D39" s="56" t="s">
        <v>482</v>
      </c>
      <c r="E39" s="56" t="s">
        <v>115</v>
      </c>
      <c r="F39" s="56" t="s">
        <v>116</v>
      </c>
      <c r="G39" s="56" t="s">
        <v>48</v>
      </c>
      <c r="H39" s="56">
        <v>1321</v>
      </c>
      <c r="I39" s="56">
        <v>9376</v>
      </c>
      <c r="J39" s="65">
        <v>6.2623012869038606</v>
      </c>
    </row>
    <row r="40" spans="1:11" ht="15" customHeight="1">
      <c r="A40" s="56" t="s">
        <v>106</v>
      </c>
      <c r="B40" s="56" t="s">
        <v>107</v>
      </c>
      <c r="C40" s="56" t="s">
        <v>117</v>
      </c>
      <c r="D40" s="56" t="s">
        <v>483</v>
      </c>
      <c r="E40" s="56" t="s">
        <v>118</v>
      </c>
      <c r="F40" s="56" t="s">
        <v>119</v>
      </c>
      <c r="G40" s="56" t="s">
        <v>55</v>
      </c>
      <c r="H40" s="56">
        <v>256</v>
      </c>
      <c r="I40" s="56">
        <v>4555</v>
      </c>
      <c r="J40" s="65">
        <v>6.25</v>
      </c>
    </row>
    <row r="41" spans="1:11" ht="15" customHeight="1">
      <c r="A41" s="56" t="s">
        <v>106</v>
      </c>
      <c r="B41" s="56" t="s">
        <v>107</v>
      </c>
      <c r="C41" s="56" t="s">
        <v>117</v>
      </c>
      <c r="D41" s="56" t="s">
        <v>483</v>
      </c>
      <c r="E41" s="56" t="s">
        <v>120</v>
      </c>
      <c r="F41" s="56" t="s">
        <v>121</v>
      </c>
      <c r="G41" s="56" t="s">
        <v>48</v>
      </c>
      <c r="H41" s="56">
        <v>1270</v>
      </c>
      <c r="I41" s="56">
        <v>5305</v>
      </c>
      <c r="J41" s="65">
        <v>6.3116797900262469</v>
      </c>
    </row>
    <row r="42" spans="1:11" ht="15" customHeight="1">
      <c r="A42" s="56" t="s">
        <v>106</v>
      </c>
      <c r="B42" s="56" t="s">
        <v>107</v>
      </c>
      <c r="C42" s="56" t="s">
        <v>117</v>
      </c>
      <c r="D42" s="56" t="s">
        <v>483</v>
      </c>
      <c r="E42" s="56" t="s">
        <v>122</v>
      </c>
      <c r="F42" s="56" t="s">
        <v>123</v>
      </c>
      <c r="G42" s="56" t="s">
        <v>48</v>
      </c>
      <c r="H42" s="56">
        <v>274</v>
      </c>
      <c r="I42" s="56">
        <v>3875</v>
      </c>
      <c r="J42" s="65">
        <v>5.6843065693430654</v>
      </c>
    </row>
    <row r="43" spans="1:11" ht="15" customHeight="1">
      <c r="A43" s="56" t="s">
        <v>106</v>
      </c>
      <c r="B43" s="56" t="s">
        <v>107</v>
      </c>
      <c r="C43" s="56" t="s">
        <v>124</v>
      </c>
      <c r="D43" s="56" t="s">
        <v>484</v>
      </c>
      <c r="E43" s="56" t="s">
        <v>125</v>
      </c>
      <c r="F43" s="56" t="s">
        <v>126</v>
      </c>
      <c r="G43" s="56" t="s">
        <v>55</v>
      </c>
      <c r="H43" s="56">
        <v>69</v>
      </c>
      <c r="I43" s="56">
        <v>4513</v>
      </c>
      <c r="J43" s="65">
        <v>7.2463768115942031</v>
      </c>
    </row>
    <row r="44" spans="1:11" ht="15" customHeight="1">
      <c r="A44" s="56" t="s">
        <v>106</v>
      </c>
      <c r="B44" s="56" t="s">
        <v>107</v>
      </c>
      <c r="C44" s="56" t="s">
        <v>124</v>
      </c>
      <c r="D44" s="56" t="s">
        <v>484</v>
      </c>
      <c r="E44" s="56" t="s">
        <v>127</v>
      </c>
      <c r="F44" s="56" t="s">
        <v>128</v>
      </c>
      <c r="G44" s="56" t="s">
        <v>48</v>
      </c>
      <c r="H44" s="56">
        <v>943</v>
      </c>
      <c r="I44" s="56">
        <v>8225</v>
      </c>
      <c r="J44" s="65">
        <v>5.6618946624248858</v>
      </c>
    </row>
    <row r="45" spans="1:11" ht="15" customHeight="1">
      <c r="A45" s="56" t="s">
        <v>106</v>
      </c>
      <c r="B45" s="56" t="s">
        <v>107</v>
      </c>
      <c r="C45" s="56" t="s">
        <v>129</v>
      </c>
      <c r="D45" s="56" t="s">
        <v>485</v>
      </c>
      <c r="E45" s="56" t="s">
        <v>130</v>
      </c>
      <c r="F45" s="56" t="s">
        <v>131</v>
      </c>
      <c r="G45" s="56" t="s">
        <v>48</v>
      </c>
      <c r="H45" s="56">
        <v>634</v>
      </c>
      <c r="I45" s="56">
        <v>9671</v>
      </c>
      <c r="J45" s="65">
        <v>6.7797055730809666</v>
      </c>
    </row>
    <row r="46" spans="1:11" s="45" customFormat="1" ht="15" customHeight="1">
      <c r="A46" s="56" t="s">
        <v>106</v>
      </c>
      <c r="B46" s="56" t="s">
        <v>107</v>
      </c>
      <c r="C46" s="56" t="s">
        <v>129</v>
      </c>
      <c r="D46" s="56" t="s">
        <v>485</v>
      </c>
      <c r="E46" s="56" t="s">
        <v>132</v>
      </c>
      <c r="F46" s="56" t="s">
        <v>133</v>
      </c>
      <c r="G46" s="56" t="s">
        <v>48</v>
      </c>
      <c r="H46" s="56">
        <v>239</v>
      </c>
      <c r="I46" s="56">
        <v>2715</v>
      </c>
      <c r="J46" s="65">
        <v>6.3528591352859136</v>
      </c>
      <c r="K46" s="12"/>
    </row>
    <row r="47" spans="1:11" s="45" customFormat="1" ht="15" customHeight="1">
      <c r="A47" s="56" t="s">
        <v>106</v>
      </c>
      <c r="B47" s="56" t="s">
        <v>107</v>
      </c>
      <c r="C47" s="56" t="s">
        <v>134</v>
      </c>
      <c r="D47" s="56" t="s">
        <v>486</v>
      </c>
      <c r="E47" s="56" t="s">
        <v>135</v>
      </c>
      <c r="F47" s="56" t="s">
        <v>136</v>
      </c>
      <c r="G47" s="56" t="s">
        <v>55</v>
      </c>
      <c r="H47" s="56">
        <v>16</v>
      </c>
      <c r="I47" s="56">
        <v>4113</v>
      </c>
      <c r="J47" s="65">
        <v>5.052083333333333</v>
      </c>
      <c r="K47" s="12"/>
    </row>
    <row r="48" spans="1:11" s="45" customFormat="1" ht="15" customHeight="1">
      <c r="A48" s="56" t="s">
        <v>106</v>
      </c>
      <c r="B48" s="56" t="s">
        <v>107</v>
      </c>
      <c r="C48" s="56" t="s">
        <v>134</v>
      </c>
      <c r="D48" s="56" t="s">
        <v>486</v>
      </c>
      <c r="E48" s="56" t="s">
        <v>137</v>
      </c>
      <c r="F48" s="56" t="s">
        <v>138</v>
      </c>
      <c r="G48" s="56" t="s">
        <v>48</v>
      </c>
      <c r="H48" s="56">
        <v>787</v>
      </c>
      <c r="I48" s="56">
        <v>6833</v>
      </c>
      <c r="J48" s="65">
        <v>6.5512494705633202</v>
      </c>
      <c r="K48" s="12"/>
    </row>
    <row r="49" spans="1:11" s="45" customFormat="1" ht="15" customHeight="1">
      <c r="A49" s="56" t="s">
        <v>106</v>
      </c>
      <c r="B49" s="56" t="s">
        <v>107</v>
      </c>
      <c r="C49" s="56" t="s">
        <v>139</v>
      </c>
      <c r="D49" s="56" t="s">
        <v>487</v>
      </c>
      <c r="E49" s="56" t="s">
        <v>140</v>
      </c>
      <c r="F49" s="56" t="s">
        <v>141</v>
      </c>
      <c r="G49" s="56" t="s">
        <v>48</v>
      </c>
      <c r="H49" s="56">
        <v>302</v>
      </c>
      <c r="I49" s="56">
        <v>9308</v>
      </c>
      <c r="J49" s="65">
        <v>6.3383002207505523</v>
      </c>
      <c r="K49" s="12"/>
    </row>
    <row r="50" spans="1:11" s="45" customFormat="1" ht="15" customHeight="1">
      <c r="A50" s="56" t="s">
        <v>106</v>
      </c>
      <c r="B50" s="56" t="s">
        <v>107</v>
      </c>
      <c r="C50" s="56" t="s">
        <v>139</v>
      </c>
      <c r="D50" s="56" t="s">
        <v>487</v>
      </c>
      <c r="E50" s="56" t="s">
        <v>142</v>
      </c>
      <c r="F50" s="56" t="s">
        <v>143</v>
      </c>
      <c r="G50" s="56" t="s">
        <v>48</v>
      </c>
      <c r="H50" s="56">
        <v>1212</v>
      </c>
      <c r="I50" s="56">
        <v>11560</v>
      </c>
      <c r="J50" s="65">
        <v>6.7141089108910892</v>
      </c>
      <c r="K50" s="12"/>
    </row>
    <row r="51" spans="1:11" s="45" customFormat="1" ht="15" customHeight="1">
      <c r="A51" s="56" t="s">
        <v>106</v>
      </c>
      <c r="B51" s="56" t="s">
        <v>107</v>
      </c>
      <c r="C51" s="56" t="s">
        <v>144</v>
      </c>
      <c r="D51" s="56" t="s">
        <v>488</v>
      </c>
      <c r="E51" s="56" t="s">
        <v>145</v>
      </c>
      <c r="F51" s="56" t="s">
        <v>146</v>
      </c>
      <c r="G51" s="56" t="s">
        <v>48</v>
      </c>
      <c r="H51" s="56">
        <v>476</v>
      </c>
      <c r="I51" s="56">
        <v>3212</v>
      </c>
      <c r="J51" s="65">
        <v>6.924019607843138</v>
      </c>
      <c r="K51" s="12"/>
    </row>
    <row r="52" spans="1:11" s="45" customFormat="1" ht="15" customHeight="1">
      <c r="A52" s="56" t="s">
        <v>106</v>
      </c>
      <c r="B52" s="56" t="s">
        <v>107</v>
      </c>
      <c r="C52" s="56" t="s">
        <v>144</v>
      </c>
      <c r="D52" s="56" t="s">
        <v>488</v>
      </c>
      <c r="E52" s="56" t="s">
        <v>147</v>
      </c>
      <c r="F52" s="56" t="s">
        <v>148</v>
      </c>
      <c r="G52" s="56" t="s">
        <v>55</v>
      </c>
      <c r="H52" s="56">
        <v>1074</v>
      </c>
      <c r="I52" s="56">
        <v>6427</v>
      </c>
      <c r="J52" s="65">
        <v>6.6076970825574177</v>
      </c>
      <c r="K52" s="12"/>
    </row>
    <row r="53" spans="1:11" s="45" customFormat="1" ht="15" customHeight="1">
      <c r="A53" s="56" t="s">
        <v>106</v>
      </c>
      <c r="B53" s="56" t="s">
        <v>107</v>
      </c>
      <c r="C53" s="56" t="s">
        <v>144</v>
      </c>
      <c r="D53" s="56" t="s">
        <v>488</v>
      </c>
      <c r="E53" s="56" t="s">
        <v>149</v>
      </c>
      <c r="F53" s="56" t="s">
        <v>150</v>
      </c>
      <c r="G53" s="56" t="s">
        <v>48</v>
      </c>
      <c r="H53" s="56">
        <v>179</v>
      </c>
      <c r="I53" s="56">
        <v>9217</v>
      </c>
      <c r="J53" s="65">
        <v>5.3351955307262573</v>
      </c>
      <c r="K53" s="12"/>
    </row>
    <row r="54" spans="1:11">
      <c r="A54" s="56" t="s">
        <v>151</v>
      </c>
      <c r="B54" s="56" t="s">
        <v>152</v>
      </c>
      <c r="C54" s="56" t="s">
        <v>153</v>
      </c>
      <c r="D54" s="56" t="s">
        <v>489</v>
      </c>
      <c r="E54" s="56" t="s">
        <v>154</v>
      </c>
      <c r="F54" s="56" t="s">
        <v>155</v>
      </c>
      <c r="G54" s="56" t="s">
        <v>48</v>
      </c>
      <c r="H54" s="56">
        <v>230</v>
      </c>
      <c r="I54" s="56">
        <v>3966</v>
      </c>
      <c r="J54" s="65">
        <v>6.1050724637681162</v>
      </c>
    </row>
    <row r="55" spans="1:11">
      <c r="A55" s="56" t="s">
        <v>151</v>
      </c>
      <c r="B55" s="56" t="s">
        <v>152</v>
      </c>
      <c r="C55" s="56" t="s">
        <v>153</v>
      </c>
      <c r="D55" s="56" t="s">
        <v>489</v>
      </c>
      <c r="E55" s="56" t="s">
        <v>156</v>
      </c>
      <c r="F55" s="56" t="s">
        <v>157</v>
      </c>
      <c r="G55" s="56" t="s">
        <v>48</v>
      </c>
      <c r="H55" s="56">
        <v>2497</v>
      </c>
      <c r="I55" s="56">
        <v>10356</v>
      </c>
      <c r="J55" s="65">
        <v>6.2815378454144977</v>
      </c>
    </row>
    <row r="56" spans="1:11">
      <c r="A56" s="56" t="s">
        <v>151</v>
      </c>
      <c r="B56" s="56" t="s">
        <v>152</v>
      </c>
      <c r="C56" s="56" t="s">
        <v>153</v>
      </c>
      <c r="D56" s="56" t="s">
        <v>489</v>
      </c>
      <c r="E56" s="56" t="s">
        <v>158</v>
      </c>
      <c r="F56" s="56" t="s">
        <v>159</v>
      </c>
      <c r="G56" s="56" t="s">
        <v>55</v>
      </c>
      <c r="H56" s="56">
        <v>174</v>
      </c>
      <c r="I56" s="56">
        <v>3451</v>
      </c>
      <c r="J56" s="65">
        <v>6.7385057471264371</v>
      </c>
    </row>
    <row r="57" spans="1:11">
      <c r="A57" s="56" t="s">
        <v>151</v>
      </c>
      <c r="B57" s="56" t="s">
        <v>152</v>
      </c>
      <c r="C57" s="56" t="s">
        <v>153</v>
      </c>
      <c r="D57" s="56" t="s">
        <v>489</v>
      </c>
      <c r="E57" s="56" t="s">
        <v>160</v>
      </c>
      <c r="F57" s="56" t="s">
        <v>161</v>
      </c>
      <c r="G57" s="56" t="s">
        <v>88</v>
      </c>
      <c r="H57" s="56">
        <v>820</v>
      </c>
      <c r="I57" s="56">
        <v>4913</v>
      </c>
      <c r="J57" s="65">
        <v>6.5904471544715451</v>
      </c>
    </row>
    <row r="58" spans="1:11">
      <c r="A58" s="56" t="s">
        <v>151</v>
      </c>
      <c r="B58" s="56" t="s">
        <v>152</v>
      </c>
      <c r="C58" s="56" t="s">
        <v>153</v>
      </c>
      <c r="D58" s="56" t="s">
        <v>489</v>
      </c>
      <c r="E58" s="56" t="s">
        <v>162</v>
      </c>
      <c r="F58" s="56" t="s">
        <v>163</v>
      </c>
      <c r="G58" s="56" t="s">
        <v>48</v>
      </c>
      <c r="H58" s="56">
        <v>1039</v>
      </c>
      <c r="I58" s="56">
        <v>6709</v>
      </c>
      <c r="J58" s="65">
        <v>6.6097208854667953</v>
      </c>
    </row>
    <row r="59" spans="1:11">
      <c r="A59" s="56" t="s">
        <v>151</v>
      </c>
      <c r="B59" s="56" t="s">
        <v>152</v>
      </c>
      <c r="C59" s="56" t="s">
        <v>153</v>
      </c>
      <c r="D59" s="56" t="s">
        <v>489</v>
      </c>
      <c r="E59" s="56" t="s">
        <v>164</v>
      </c>
      <c r="F59" s="56" t="s">
        <v>165</v>
      </c>
      <c r="G59" s="56" t="s">
        <v>48</v>
      </c>
      <c r="H59" s="56">
        <v>41</v>
      </c>
      <c r="I59" s="56">
        <v>4620</v>
      </c>
      <c r="J59" s="65">
        <v>5.3658536585365857</v>
      </c>
    </row>
    <row r="60" spans="1:11">
      <c r="A60" s="56" t="s">
        <v>151</v>
      </c>
      <c r="B60" s="56" t="s">
        <v>152</v>
      </c>
      <c r="C60" s="56" t="s">
        <v>166</v>
      </c>
      <c r="D60" s="56" t="s">
        <v>490</v>
      </c>
      <c r="E60" s="56" t="s">
        <v>167</v>
      </c>
      <c r="F60" s="56" t="s">
        <v>168</v>
      </c>
      <c r="G60" s="56" t="s">
        <v>55</v>
      </c>
      <c r="H60" s="56">
        <v>1542</v>
      </c>
      <c r="I60" s="56">
        <v>4670</v>
      </c>
      <c r="J60" s="65">
        <v>7.176286208387376</v>
      </c>
    </row>
    <row r="61" spans="1:11">
      <c r="A61" s="56" t="s">
        <v>151</v>
      </c>
      <c r="B61" s="56" t="s">
        <v>152</v>
      </c>
      <c r="C61" s="56" t="s">
        <v>166</v>
      </c>
      <c r="D61" s="56" t="s">
        <v>490</v>
      </c>
      <c r="E61" s="56" t="s">
        <v>169</v>
      </c>
      <c r="F61" s="56" t="s">
        <v>170</v>
      </c>
      <c r="G61" s="56" t="s">
        <v>48</v>
      </c>
      <c r="H61" s="56">
        <v>1523</v>
      </c>
      <c r="I61" s="56">
        <v>9971</v>
      </c>
      <c r="J61" s="65">
        <v>6.3263296126066972</v>
      </c>
    </row>
    <row r="62" spans="1:11">
      <c r="A62" s="56" t="s">
        <v>151</v>
      </c>
      <c r="B62" s="56" t="s">
        <v>152</v>
      </c>
      <c r="C62" s="56" t="s">
        <v>171</v>
      </c>
      <c r="D62" s="56" t="s">
        <v>491</v>
      </c>
      <c r="E62" s="56" t="s">
        <v>172</v>
      </c>
      <c r="F62" s="56" t="s">
        <v>173</v>
      </c>
      <c r="G62" s="56" t="s">
        <v>48</v>
      </c>
      <c r="H62" s="56">
        <v>301</v>
      </c>
      <c r="I62" s="56">
        <v>7875</v>
      </c>
      <c r="J62" s="65">
        <v>5.9939091915836107</v>
      </c>
    </row>
    <row r="63" spans="1:11">
      <c r="A63" s="56" t="s">
        <v>151</v>
      </c>
      <c r="B63" s="56" t="s">
        <v>152</v>
      </c>
      <c r="C63" s="56" t="s">
        <v>171</v>
      </c>
      <c r="D63" s="56" t="s">
        <v>491</v>
      </c>
      <c r="E63" s="56" t="s">
        <v>174</v>
      </c>
      <c r="F63" s="56" t="s">
        <v>175</v>
      </c>
      <c r="G63" s="56" t="s">
        <v>72</v>
      </c>
      <c r="H63" s="56">
        <v>159</v>
      </c>
      <c r="I63" s="56">
        <v>1074</v>
      </c>
      <c r="J63" s="65">
        <v>6.8134171907756809</v>
      </c>
    </row>
    <row r="64" spans="1:11">
      <c r="A64" s="56" t="s">
        <v>151</v>
      </c>
      <c r="B64" s="56" t="s">
        <v>152</v>
      </c>
      <c r="C64" s="56" t="s">
        <v>171</v>
      </c>
      <c r="D64" s="56" t="s">
        <v>491</v>
      </c>
      <c r="E64" s="56" t="s">
        <v>176</v>
      </c>
      <c r="F64" s="56" t="s">
        <v>177</v>
      </c>
      <c r="G64" s="56" t="s">
        <v>178</v>
      </c>
      <c r="H64" s="56">
        <v>111</v>
      </c>
      <c r="I64" s="56">
        <v>4198</v>
      </c>
      <c r="J64" s="65">
        <v>3.8813813813813813</v>
      </c>
    </row>
    <row r="65" spans="1:10">
      <c r="A65" s="56" t="s">
        <v>151</v>
      </c>
      <c r="B65" s="56" t="s">
        <v>152</v>
      </c>
      <c r="C65" s="56" t="s">
        <v>171</v>
      </c>
      <c r="D65" s="56" t="s">
        <v>491</v>
      </c>
      <c r="E65" s="56" t="s">
        <v>179</v>
      </c>
      <c r="F65" s="56" t="s">
        <v>180</v>
      </c>
      <c r="G65" s="56" t="s">
        <v>88</v>
      </c>
      <c r="H65" s="56">
        <v>90</v>
      </c>
      <c r="I65" s="56">
        <v>5318</v>
      </c>
      <c r="J65" s="65">
        <v>6.8425925925925934</v>
      </c>
    </row>
    <row r="66" spans="1:10">
      <c r="A66" s="56" t="s">
        <v>151</v>
      </c>
      <c r="B66" s="56" t="s">
        <v>152</v>
      </c>
      <c r="C66" s="56" t="s">
        <v>171</v>
      </c>
      <c r="D66" s="56" t="s">
        <v>491</v>
      </c>
      <c r="E66" s="56" t="s">
        <v>181</v>
      </c>
      <c r="F66" s="56" t="s">
        <v>182</v>
      </c>
      <c r="G66" s="56" t="s">
        <v>55</v>
      </c>
      <c r="H66" s="56">
        <v>187</v>
      </c>
      <c r="I66" s="56">
        <v>5533</v>
      </c>
      <c r="J66" s="65">
        <v>6.5062388591800362</v>
      </c>
    </row>
    <row r="67" spans="1:10">
      <c r="A67" s="56" t="s">
        <v>151</v>
      </c>
      <c r="B67" s="56" t="s">
        <v>152</v>
      </c>
      <c r="C67" s="56" t="s">
        <v>171</v>
      </c>
      <c r="D67" s="56" t="s">
        <v>491</v>
      </c>
      <c r="E67" s="56" t="s">
        <v>183</v>
      </c>
      <c r="F67" s="56" t="s">
        <v>184</v>
      </c>
      <c r="G67" s="56" t="s">
        <v>48</v>
      </c>
      <c r="H67" s="56">
        <v>220</v>
      </c>
      <c r="I67" s="56">
        <v>16095</v>
      </c>
      <c r="J67" s="65">
        <v>5.4545454545454541</v>
      </c>
    </row>
    <row r="68" spans="1:10">
      <c r="A68" s="56" t="s">
        <v>151</v>
      </c>
      <c r="B68" s="56" t="s">
        <v>152</v>
      </c>
      <c r="C68" s="56" t="s">
        <v>185</v>
      </c>
      <c r="D68" s="56" t="s">
        <v>492</v>
      </c>
      <c r="E68" s="56" t="s">
        <v>186</v>
      </c>
      <c r="F68" s="56" t="s">
        <v>187</v>
      </c>
      <c r="G68" s="56" t="s">
        <v>48</v>
      </c>
      <c r="H68" s="56">
        <v>816</v>
      </c>
      <c r="I68" s="56">
        <v>7394</v>
      </c>
      <c r="J68" s="65">
        <v>6.3582516339869279</v>
      </c>
    </row>
    <row r="69" spans="1:10">
      <c r="A69" s="56" t="s">
        <v>151</v>
      </c>
      <c r="B69" s="56" t="s">
        <v>152</v>
      </c>
      <c r="C69" s="56" t="s">
        <v>185</v>
      </c>
      <c r="D69" s="56" t="s">
        <v>492</v>
      </c>
      <c r="E69" s="56" t="s">
        <v>188</v>
      </c>
      <c r="F69" s="56" t="s">
        <v>189</v>
      </c>
      <c r="G69" s="56" t="s">
        <v>48</v>
      </c>
      <c r="H69" s="56">
        <v>484</v>
      </c>
      <c r="I69" s="56">
        <v>3620</v>
      </c>
      <c r="J69" s="65">
        <v>6.604683195592286</v>
      </c>
    </row>
    <row r="70" spans="1:10">
      <c r="A70" s="56" t="s">
        <v>151</v>
      </c>
      <c r="B70" s="56" t="s">
        <v>152</v>
      </c>
      <c r="C70" s="56" t="s">
        <v>185</v>
      </c>
      <c r="D70" s="56" t="s">
        <v>492</v>
      </c>
      <c r="E70" s="56" t="s">
        <v>190</v>
      </c>
      <c r="F70" s="56" t="s">
        <v>191</v>
      </c>
      <c r="G70" s="56" t="s">
        <v>48</v>
      </c>
      <c r="H70" s="56">
        <v>1032</v>
      </c>
      <c r="I70" s="56">
        <v>7994</v>
      </c>
      <c r="J70" s="65">
        <v>6.2209302325581399</v>
      </c>
    </row>
    <row r="71" spans="1:10">
      <c r="A71" s="56" t="s">
        <v>151</v>
      </c>
      <c r="B71" s="56" t="s">
        <v>152</v>
      </c>
      <c r="C71" s="56" t="s">
        <v>185</v>
      </c>
      <c r="D71" s="56" t="s">
        <v>492</v>
      </c>
      <c r="E71" s="56" t="s">
        <v>192</v>
      </c>
      <c r="F71" s="56" t="s">
        <v>193</v>
      </c>
      <c r="G71" s="56" t="s">
        <v>55</v>
      </c>
      <c r="H71" s="56">
        <v>429</v>
      </c>
      <c r="I71" s="56">
        <v>4041</v>
      </c>
      <c r="J71" s="65">
        <v>7.1289821289821296</v>
      </c>
    </row>
    <row r="72" spans="1:10">
      <c r="A72" s="56" t="s">
        <v>151</v>
      </c>
      <c r="B72" s="56" t="s">
        <v>152</v>
      </c>
      <c r="C72" s="56" t="s">
        <v>185</v>
      </c>
      <c r="D72" s="56" t="s">
        <v>492</v>
      </c>
      <c r="E72" s="56" t="s">
        <v>194</v>
      </c>
      <c r="F72" s="56" t="s">
        <v>195</v>
      </c>
      <c r="G72" s="56" t="s">
        <v>55</v>
      </c>
      <c r="H72" s="56">
        <v>1830</v>
      </c>
      <c r="I72" s="56">
        <v>6321</v>
      </c>
      <c r="J72" s="65">
        <v>7.4234972677595632</v>
      </c>
    </row>
    <row r="73" spans="1:10">
      <c r="A73" s="56" t="s">
        <v>151</v>
      </c>
      <c r="B73" s="56" t="s">
        <v>152</v>
      </c>
      <c r="C73" s="56" t="s">
        <v>185</v>
      </c>
      <c r="D73" s="56" t="s">
        <v>492</v>
      </c>
      <c r="E73" s="56" t="s">
        <v>196</v>
      </c>
      <c r="F73" s="56" t="s">
        <v>197</v>
      </c>
      <c r="G73" s="56" t="s">
        <v>48</v>
      </c>
      <c r="H73" s="56">
        <v>2833</v>
      </c>
      <c r="I73" s="56">
        <v>12425</v>
      </c>
      <c r="J73" s="65">
        <v>6.7193199199905864</v>
      </c>
    </row>
    <row r="74" spans="1:10">
      <c r="A74" s="56" t="s">
        <v>151</v>
      </c>
      <c r="B74" s="56" t="s">
        <v>152</v>
      </c>
      <c r="C74" s="56" t="s">
        <v>198</v>
      </c>
      <c r="D74" s="56" t="s">
        <v>493</v>
      </c>
      <c r="E74" s="56" t="s">
        <v>199</v>
      </c>
      <c r="F74" s="56" t="s">
        <v>200</v>
      </c>
      <c r="G74" s="56" t="s">
        <v>48</v>
      </c>
      <c r="H74" s="56">
        <v>705</v>
      </c>
      <c r="I74" s="56">
        <v>6239</v>
      </c>
      <c r="J74" s="65">
        <v>6.4988179669030739</v>
      </c>
    </row>
    <row r="75" spans="1:10">
      <c r="A75" s="56" t="s">
        <v>151</v>
      </c>
      <c r="B75" s="56" t="s">
        <v>152</v>
      </c>
      <c r="C75" s="56" t="s">
        <v>198</v>
      </c>
      <c r="D75" s="56" t="s">
        <v>493</v>
      </c>
      <c r="E75" s="56" t="s">
        <v>201</v>
      </c>
      <c r="F75" s="56" t="s">
        <v>202</v>
      </c>
      <c r="G75" s="56" t="s">
        <v>55</v>
      </c>
      <c r="H75" s="56">
        <v>1002</v>
      </c>
      <c r="I75" s="56">
        <v>6072</v>
      </c>
      <c r="J75" s="65">
        <v>6.6009647371922826</v>
      </c>
    </row>
    <row r="76" spans="1:10">
      <c r="A76" s="56" t="s">
        <v>151</v>
      </c>
      <c r="B76" s="56" t="s">
        <v>152</v>
      </c>
      <c r="C76" s="56" t="s">
        <v>198</v>
      </c>
      <c r="D76" s="56" t="s">
        <v>493</v>
      </c>
      <c r="E76" s="56" t="s">
        <v>203</v>
      </c>
      <c r="F76" s="56" t="s">
        <v>204</v>
      </c>
      <c r="G76" s="56" t="s">
        <v>48</v>
      </c>
      <c r="H76" s="56">
        <v>2245</v>
      </c>
      <c r="I76" s="56">
        <v>13438</v>
      </c>
      <c r="J76" s="65">
        <v>6.5764662212323683</v>
      </c>
    </row>
    <row r="77" spans="1:10">
      <c r="A77" s="56" t="s">
        <v>151</v>
      </c>
      <c r="B77" s="56" t="s">
        <v>152</v>
      </c>
      <c r="C77" s="56" t="s">
        <v>198</v>
      </c>
      <c r="D77" s="56" t="s">
        <v>493</v>
      </c>
      <c r="E77" s="56" t="s">
        <v>205</v>
      </c>
      <c r="F77" s="56" t="s">
        <v>206</v>
      </c>
      <c r="G77" s="56" t="s">
        <v>48</v>
      </c>
      <c r="H77" s="56">
        <v>143</v>
      </c>
      <c r="I77" s="56">
        <v>5899</v>
      </c>
      <c r="J77" s="65">
        <v>5.9673659673659678</v>
      </c>
    </row>
    <row r="78" spans="1:10">
      <c r="A78" s="56" t="s">
        <v>151</v>
      </c>
      <c r="B78" s="56" t="s">
        <v>152</v>
      </c>
      <c r="C78" s="56" t="s">
        <v>198</v>
      </c>
      <c r="D78" s="56" t="s">
        <v>493</v>
      </c>
      <c r="E78" s="56" t="s">
        <v>207</v>
      </c>
      <c r="F78" s="56" t="s">
        <v>208</v>
      </c>
      <c r="G78" s="56" t="s">
        <v>178</v>
      </c>
      <c r="H78" s="56">
        <v>277</v>
      </c>
      <c r="I78" s="56">
        <v>4516</v>
      </c>
      <c r="J78" s="65">
        <v>5.0421179302045731</v>
      </c>
    </row>
    <row r="79" spans="1:10">
      <c r="A79" s="56" t="s">
        <v>209</v>
      </c>
      <c r="B79" s="56" t="s">
        <v>210</v>
      </c>
      <c r="C79" s="56" t="s">
        <v>211</v>
      </c>
      <c r="D79" s="56" t="s">
        <v>494</v>
      </c>
      <c r="E79" s="56" t="s">
        <v>212</v>
      </c>
      <c r="F79" s="56" t="s">
        <v>213</v>
      </c>
      <c r="G79" s="56" t="s">
        <v>55</v>
      </c>
      <c r="H79" s="56">
        <v>373</v>
      </c>
      <c r="I79" s="56">
        <v>4434</v>
      </c>
      <c r="J79" s="65">
        <v>6.7314566577301163</v>
      </c>
    </row>
    <row r="80" spans="1:10">
      <c r="A80" s="56" t="s">
        <v>209</v>
      </c>
      <c r="B80" s="56" t="s">
        <v>210</v>
      </c>
      <c r="C80" s="56" t="s">
        <v>211</v>
      </c>
      <c r="D80" s="56" t="s">
        <v>494</v>
      </c>
      <c r="E80" s="56" t="s">
        <v>214</v>
      </c>
      <c r="F80" s="56" t="s">
        <v>215</v>
      </c>
      <c r="G80" s="56" t="s">
        <v>48</v>
      </c>
      <c r="H80" s="56">
        <v>259</v>
      </c>
      <c r="I80" s="56">
        <v>6633</v>
      </c>
      <c r="J80" s="65">
        <v>6.1068211068211067</v>
      </c>
    </row>
    <row r="81" spans="1:10">
      <c r="A81" s="56" t="s">
        <v>209</v>
      </c>
      <c r="B81" s="56" t="s">
        <v>210</v>
      </c>
      <c r="C81" s="56" t="s">
        <v>211</v>
      </c>
      <c r="D81" s="56" t="s">
        <v>494</v>
      </c>
      <c r="E81" s="56" t="s">
        <v>216</v>
      </c>
      <c r="F81" s="56" t="s">
        <v>217</v>
      </c>
      <c r="G81" s="56" t="s">
        <v>48</v>
      </c>
      <c r="H81" s="56">
        <v>474</v>
      </c>
      <c r="I81" s="56">
        <v>3642</v>
      </c>
      <c r="J81" s="65">
        <v>6.5101969057665263</v>
      </c>
    </row>
    <row r="82" spans="1:10">
      <c r="A82" s="56" t="s">
        <v>209</v>
      </c>
      <c r="B82" s="56" t="s">
        <v>210</v>
      </c>
      <c r="C82" s="56" t="s">
        <v>218</v>
      </c>
      <c r="D82" s="56" t="s">
        <v>495</v>
      </c>
      <c r="E82" s="56" t="s">
        <v>219</v>
      </c>
      <c r="F82" s="56" t="s">
        <v>220</v>
      </c>
      <c r="G82" s="56" t="s">
        <v>88</v>
      </c>
      <c r="H82" s="56">
        <v>620</v>
      </c>
      <c r="I82" s="56">
        <v>4888</v>
      </c>
      <c r="J82" s="65">
        <v>6.318548387096774</v>
      </c>
    </row>
    <row r="83" spans="1:10">
      <c r="A83" s="56" t="s">
        <v>209</v>
      </c>
      <c r="B83" s="56" t="s">
        <v>210</v>
      </c>
      <c r="C83" s="56" t="s">
        <v>218</v>
      </c>
      <c r="D83" s="56" t="s">
        <v>495</v>
      </c>
      <c r="E83" s="56" t="s">
        <v>221</v>
      </c>
      <c r="F83" s="56" t="s">
        <v>222</v>
      </c>
      <c r="G83" s="56" t="s">
        <v>72</v>
      </c>
      <c r="H83" s="56">
        <v>413</v>
      </c>
      <c r="I83" s="56">
        <v>1218</v>
      </c>
      <c r="J83" s="65">
        <v>6.6404358353510897</v>
      </c>
    </row>
    <row r="84" spans="1:10">
      <c r="A84" s="56" t="s">
        <v>209</v>
      </c>
      <c r="B84" s="56" t="s">
        <v>210</v>
      </c>
      <c r="C84" s="56" t="s">
        <v>218</v>
      </c>
      <c r="D84" s="56" t="s">
        <v>495</v>
      </c>
      <c r="E84" s="56" t="s">
        <v>223</v>
      </c>
      <c r="F84" s="56" t="s">
        <v>224</v>
      </c>
      <c r="G84" s="56" t="s">
        <v>48</v>
      </c>
      <c r="H84" s="56">
        <v>1908</v>
      </c>
      <c r="I84" s="56">
        <v>21568</v>
      </c>
      <c r="J84" s="65">
        <v>5.7525331935709296</v>
      </c>
    </row>
    <row r="85" spans="1:10">
      <c r="A85" s="56" t="s">
        <v>209</v>
      </c>
      <c r="B85" s="56" t="s">
        <v>210</v>
      </c>
      <c r="C85" s="56" t="s">
        <v>225</v>
      </c>
      <c r="D85" s="56" t="s">
        <v>496</v>
      </c>
      <c r="E85" s="56" t="s">
        <v>226</v>
      </c>
      <c r="F85" s="56" t="s">
        <v>227</v>
      </c>
      <c r="G85" s="56" t="s">
        <v>48</v>
      </c>
      <c r="H85" s="56">
        <v>44</v>
      </c>
      <c r="I85" s="56">
        <v>3968</v>
      </c>
      <c r="J85" s="65">
        <v>6.7234848484848477</v>
      </c>
    </row>
    <row r="86" spans="1:10">
      <c r="A86" s="56" t="s">
        <v>209</v>
      </c>
      <c r="B86" s="56" t="s">
        <v>210</v>
      </c>
      <c r="C86" s="56" t="s">
        <v>225</v>
      </c>
      <c r="D86" s="56" t="s">
        <v>496</v>
      </c>
      <c r="E86" s="56" t="s">
        <v>228</v>
      </c>
      <c r="F86" s="56" t="s">
        <v>229</v>
      </c>
      <c r="G86" s="56" t="s">
        <v>88</v>
      </c>
      <c r="H86" s="56">
        <v>1433</v>
      </c>
      <c r="I86" s="56">
        <v>4235</v>
      </c>
      <c r="J86" s="65">
        <v>7.0434984880204707</v>
      </c>
    </row>
    <row r="87" spans="1:10">
      <c r="A87" s="56" t="s">
        <v>209</v>
      </c>
      <c r="B87" s="56" t="s">
        <v>210</v>
      </c>
      <c r="C87" s="56" t="s">
        <v>225</v>
      </c>
      <c r="D87" s="56" t="s">
        <v>496</v>
      </c>
      <c r="E87" s="56" t="s">
        <v>230</v>
      </c>
      <c r="F87" s="56" t="s">
        <v>231</v>
      </c>
      <c r="G87" s="56" t="s">
        <v>55</v>
      </c>
      <c r="H87" s="56">
        <v>835</v>
      </c>
      <c r="I87" s="56">
        <v>2839</v>
      </c>
      <c r="J87" s="65">
        <v>7.1197604790419158</v>
      </c>
    </row>
    <row r="88" spans="1:10">
      <c r="A88" s="56" t="s">
        <v>209</v>
      </c>
      <c r="B88" s="56" t="s">
        <v>210</v>
      </c>
      <c r="C88" s="56" t="s">
        <v>225</v>
      </c>
      <c r="D88" s="56" t="s">
        <v>496</v>
      </c>
      <c r="E88" s="56" t="s">
        <v>232</v>
      </c>
      <c r="F88" s="56" t="s">
        <v>233</v>
      </c>
      <c r="G88" s="56" t="s">
        <v>48</v>
      </c>
      <c r="H88" s="56">
        <v>1817</v>
      </c>
      <c r="I88" s="56">
        <v>13473</v>
      </c>
      <c r="J88" s="65">
        <v>6.0470555861309849</v>
      </c>
    </row>
    <row r="89" spans="1:10">
      <c r="A89" s="56" t="s">
        <v>209</v>
      </c>
      <c r="B89" s="56" t="s">
        <v>210</v>
      </c>
      <c r="C89" s="56" t="s">
        <v>234</v>
      </c>
      <c r="D89" s="56" t="s">
        <v>497</v>
      </c>
      <c r="E89" s="56" t="s">
        <v>235</v>
      </c>
      <c r="F89" s="56" t="s">
        <v>236</v>
      </c>
      <c r="G89" s="56" t="s">
        <v>88</v>
      </c>
      <c r="H89" s="56">
        <v>823</v>
      </c>
      <c r="I89" s="56">
        <v>2245</v>
      </c>
      <c r="J89" s="65">
        <v>6.9714459295261237</v>
      </c>
    </row>
    <row r="90" spans="1:10">
      <c r="A90" s="56" t="s">
        <v>209</v>
      </c>
      <c r="B90" s="56" t="s">
        <v>210</v>
      </c>
      <c r="C90" s="56" t="s">
        <v>234</v>
      </c>
      <c r="D90" s="56" t="s">
        <v>497</v>
      </c>
      <c r="E90" s="56" t="s">
        <v>237</v>
      </c>
      <c r="F90" s="56" t="s">
        <v>238</v>
      </c>
      <c r="G90" s="56" t="s">
        <v>55</v>
      </c>
      <c r="H90" s="56">
        <v>862</v>
      </c>
      <c r="I90" s="56">
        <v>2351</v>
      </c>
      <c r="J90" s="65">
        <v>7.0253286929621037</v>
      </c>
    </row>
    <row r="91" spans="1:10">
      <c r="A91" s="56" t="s">
        <v>209</v>
      </c>
      <c r="B91" s="56" t="s">
        <v>210</v>
      </c>
      <c r="C91" s="56" t="s">
        <v>234</v>
      </c>
      <c r="D91" s="56" t="s">
        <v>497</v>
      </c>
      <c r="E91" s="56" t="s">
        <v>239</v>
      </c>
      <c r="F91" s="56" t="s">
        <v>240</v>
      </c>
      <c r="G91" s="56" t="s">
        <v>48</v>
      </c>
      <c r="H91" s="56">
        <v>2165</v>
      </c>
      <c r="I91" s="56">
        <v>8389</v>
      </c>
      <c r="J91" s="65">
        <v>6.2066974595842952</v>
      </c>
    </row>
    <row r="92" spans="1:10">
      <c r="A92" s="56" t="s">
        <v>209</v>
      </c>
      <c r="B92" s="56" t="s">
        <v>210</v>
      </c>
      <c r="C92" s="56" t="s">
        <v>241</v>
      </c>
      <c r="D92" s="56" t="s">
        <v>498</v>
      </c>
      <c r="E92" s="56" t="s">
        <v>242</v>
      </c>
      <c r="F92" s="56" t="s">
        <v>243</v>
      </c>
      <c r="G92" s="56" t="s">
        <v>55</v>
      </c>
      <c r="H92" s="56">
        <v>904</v>
      </c>
      <c r="I92" s="56">
        <v>5558</v>
      </c>
      <c r="J92" s="65">
        <v>6.4159292035398234</v>
      </c>
    </row>
    <row r="93" spans="1:10">
      <c r="A93" s="56" t="s">
        <v>209</v>
      </c>
      <c r="B93" s="56" t="s">
        <v>210</v>
      </c>
      <c r="C93" s="56" t="s">
        <v>241</v>
      </c>
      <c r="D93" s="56" t="s">
        <v>498</v>
      </c>
      <c r="E93" s="56" t="s">
        <v>244</v>
      </c>
      <c r="F93" s="56" t="s">
        <v>245</v>
      </c>
      <c r="G93" s="56" t="s">
        <v>48</v>
      </c>
      <c r="H93" s="56">
        <v>49</v>
      </c>
      <c r="I93" s="56">
        <v>16152</v>
      </c>
      <c r="J93" s="65">
        <v>6.462585034013606</v>
      </c>
    </row>
    <row r="94" spans="1:10">
      <c r="A94" s="56" t="s">
        <v>209</v>
      </c>
      <c r="B94" s="56" t="s">
        <v>210</v>
      </c>
      <c r="C94" s="56" t="s">
        <v>246</v>
      </c>
      <c r="D94" s="56" t="s">
        <v>499</v>
      </c>
      <c r="E94" s="56" t="s">
        <v>247</v>
      </c>
      <c r="F94" s="56" t="s">
        <v>248</v>
      </c>
      <c r="G94" s="56" t="s">
        <v>55</v>
      </c>
      <c r="H94" s="56">
        <v>826</v>
      </c>
      <c r="I94" s="56">
        <v>9008</v>
      </c>
      <c r="J94" s="65">
        <v>7.3335351089588379</v>
      </c>
    </row>
    <row r="95" spans="1:10">
      <c r="A95" s="56" t="s">
        <v>209</v>
      </c>
      <c r="B95" s="56" t="s">
        <v>210</v>
      </c>
      <c r="C95" s="56" t="s">
        <v>249</v>
      </c>
      <c r="D95" s="56" t="s">
        <v>500</v>
      </c>
      <c r="E95" s="56" t="s">
        <v>250</v>
      </c>
      <c r="F95" s="56" t="s">
        <v>251</v>
      </c>
      <c r="G95" s="56" t="s">
        <v>88</v>
      </c>
      <c r="H95" s="56">
        <v>17</v>
      </c>
      <c r="I95" s="56">
        <v>1559</v>
      </c>
      <c r="J95" s="65">
        <v>6.1764705882352944</v>
      </c>
    </row>
    <row r="96" spans="1:10">
      <c r="A96" s="56" t="s">
        <v>209</v>
      </c>
      <c r="B96" s="56" t="s">
        <v>210</v>
      </c>
      <c r="C96" s="56" t="s">
        <v>249</v>
      </c>
      <c r="D96" s="56" t="s">
        <v>500</v>
      </c>
      <c r="E96" s="56" t="s">
        <v>252</v>
      </c>
      <c r="F96" s="56" t="s">
        <v>253</v>
      </c>
      <c r="G96" s="56" t="s">
        <v>72</v>
      </c>
      <c r="H96" s="56">
        <v>10</v>
      </c>
      <c r="I96" s="56">
        <v>1618</v>
      </c>
      <c r="J96" s="65">
        <v>4.5833333333333339</v>
      </c>
    </row>
    <row r="97" spans="1:10">
      <c r="A97" s="56" t="s">
        <v>209</v>
      </c>
      <c r="B97" s="56" t="s">
        <v>210</v>
      </c>
      <c r="C97" s="56" t="s">
        <v>249</v>
      </c>
      <c r="D97" s="56" t="s">
        <v>500</v>
      </c>
      <c r="E97" s="56" t="s">
        <v>254</v>
      </c>
      <c r="F97" s="56" t="s">
        <v>255</v>
      </c>
      <c r="G97" s="56" t="s">
        <v>48</v>
      </c>
      <c r="H97" s="56">
        <v>1193</v>
      </c>
      <c r="I97" s="56">
        <v>6873</v>
      </c>
      <c r="J97" s="65">
        <v>6.0603520536462696</v>
      </c>
    </row>
    <row r="98" spans="1:10">
      <c r="A98" s="56" t="s">
        <v>209</v>
      </c>
      <c r="B98" s="56" t="s">
        <v>210</v>
      </c>
      <c r="C98" s="56" t="s">
        <v>256</v>
      </c>
      <c r="D98" s="56" t="s">
        <v>501</v>
      </c>
      <c r="E98" s="56" t="s">
        <v>257</v>
      </c>
      <c r="F98" s="56" t="s">
        <v>258</v>
      </c>
      <c r="G98" s="56" t="s">
        <v>48</v>
      </c>
      <c r="H98" s="56">
        <v>1246</v>
      </c>
      <c r="I98" s="56">
        <v>4791</v>
      </c>
      <c r="J98" s="65">
        <v>6.2051899411449973</v>
      </c>
    </row>
    <row r="99" spans="1:10">
      <c r="A99" s="56" t="s">
        <v>209</v>
      </c>
      <c r="B99" s="56" t="s">
        <v>210</v>
      </c>
      <c r="C99" s="56" t="s">
        <v>256</v>
      </c>
      <c r="D99" s="56" t="s">
        <v>501</v>
      </c>
      <c r="E99" s="56" t="s">
        <v>259</v>
      </c>
      <c r="F99" s="56" t="s">
        <v>260</v>
      </c>
      <c r="G99" s="56" t="s">
        <v>48</v>
      </c>
      <c r="H99" s="56">
        <v>1217</v>
      </c>
      <c r="I99" s="56">
        <v>5584</v>
      </c>
      <c r="J99" s="65">
        <v>6.1079156395508081</v>
      </c>
    </row>
    <row r="100" spans="1:10">
      <c r="A100" s="56" t="s">
        <v>209</v>
      </c>
      <c r="B100" s="56" t="s">
        <v>210</v>
      </c>
      <c r="C100" s="56" t="s">
        <v>256</v>
      </c>
      <c r="D100" s="56" t="s">
        <v>501</v>
      </c>
      <c r="E100" s="56" t="s">
        <v>261</v>
      </c>
      <c r="F100" s="56" t="s">
        <v>262</v>
      </c>
      <c r="G100" s="56" t="s">
        <v>55</v>
      </c>
      <c r="H100" s="56">
        <v>1515</v>
      </c>
      <c r="I100" s="56">
        <v>4485</v>
      </c>
      <c r="J100" s="65">
        <v>7.0731573157315735</v>
      </c>
    </row>
    <row r="101" spans="1:10">
      <c r="A101" s="56" t="s">
        <v>209</v>
      </c>
      <c r="B101" s="56" t="s">
        <v>210</v>
      </c>
      <c r="C101" s="56" t="s">
        <v>263</v>
      </c>
      <c r="D101" s="56" t="s">
        <v>502</v>
      </c>
      <c r="E101" s="56" t="s">
        <v>264</v>
      </c>
      <c r="F101" s="56" t="s">
        <v>265</v>
      </c>
      <c r="G101" s="56" t="s">
        <v>178</v>
      </c>
      <c r="H101" s="56">
        <v>203</v>
      </c>
      <c r="I101" s="56">
        <v>3960</v>
      </c>
      <c r="J101" s="65">
        <v>4.8973727422003286</v>
      </c>
    </row>
    <row r="102" spans="1:10">
      <c r="A102" s="56" t="s">
        <v>209</v>
      </c>
      <c r="B102" s="56" t="s">
        <v>210</v>
      </c>
      <c r="C102" s="56" t="s">
        <v>263</v>
      </c>
      <c r="D102" s="56" t="s">
        <v>502</v>
      </c>
      <c r="E102" s="56" t="s">
        <v>266</v>
      </c>
      <c r="F102" s="56" t="s">
        <v>267</v>
      </c>
      <c r="G102" s="56" t="s">
        <v>48</v>
      </c>
      <c r="H102" s="56">
        <v>2407</v>
      </c>
      <c r="I102" s="56">
        <v>17419</v>
      </c>
      <c r="J102" s="65">
        <v>6.3606148732862486</v>
      </c>
    </row>
    <row r="103" spans="1:10">
      <c r="A103" s="56" t="s">
        <v>209</v>
      </c>
      <c r="B103" s="56" t="s">
        <v>210</v>
      </c>
      <c r="C103" s="56" t="s">
        <v>263</v>
      </c>
      <c r="D103" s="56" t="s">
        <v>502</v>
      </c>
      <c r="E103" s="56" t="s">
        <v>268</v>
      </c>
      <c r="F103" s="56" t="s">
        <v>269</v>
      </c>
      <c r="G103" s="56" t="s">
        <v>55</v>
      </c>
      <c r="H103" s="56">
        <v>717</v>
      </c>
      <c r="I103" s="56">
        <v>8875</v>
      </c>
      <c r="J103" s="65">
        <v>6.5074384007438395</v>
      </c>
    </row>
    <row r="104" spans="1:10">
      <c r="A104" s="56" t="s">
        <v>209</v>
      </c>
      <c r="B104" s="56" t="s">
        <v>210</v>
      </c>
      <c r="C104" s="56" t="s">
        <v>263</v>
      </c>
      <c r="D104" s="56" t="s">
        <v>502</v>
      </c>
      <c r="E104" s="56" t="s">
        <v>270</v>
      </c>
      <c r="F104" s="56" t="s">
        <v>271</v>
      </c>
      <c r="G104" s="56" t="s">
        <v>48</v>
      </c>
      <c r="H104" s="56">
        <v>1302</v>
      </c>
      <c r="I104" s="56">
        <v>5618</v>
      </c>
      <c r="J104" s="65">
        <v>6.7447516641065022</v>
      </c>
    </row>
    <row r="105" spans="1:10">
      <c r="A105" s="56" t="s">
        <v>209</v>
      </c>
      <c r="B105" s="56" t="s">
        <v>210</v>
      </c>
      <c r="C105" s="56" t="s">
        <v>272</v>
      </c>
      <c r="D105" s="56" t="s">
        <v>503</v>
      </c>
      <c r="E105" s="56" t="s">
        <v>273</v>
      </c>
      <c r="F105" s="56" t="s">
        <v>274</v>
      </c>
      <c r="G105" s="56" t="s">
        <v>55</v>
      </c>
      <c r="H105" s="56">
        <v>316</v>
      </c>
      <c r="I105" s="56">
        <v>4438</v>
      </c>
      <c r="J105" s="65">
        <v>5.9704641350210972</v>
      </c>
    </row>
    <row r="106" spans="1:10">
      <c r="A106" s="56" t="s">
        <v>209</v>
      </c>
      <c r="B106" s="56" t="s">
        <v>210</v>
      </c>
      <c r="C106" s="56" t="s">
        <v>272</v>
      </c>
      <c r="D106" s="56" t="s">
        <v>503</v>
      </c>
      <c r="E106" s="56" t="s">
        <v>275</v>
      </c>
      <c r="F106" s="56" t="s">
        <v>276</v>
      </c>
      <c r="G106" s="56" t="s">
        <v>55</v>
      </c>
      <c r="H106" s="56">
        <v>508</v>
      </c>
      <c r="I106" s="56">
        <v>3621</v>
      </c>
      <c r="J106" s="65">
        <v>6.2352362204724407</v>
      </c>
    </row>
    <row r="107" spans="1:10">
      <c r="A107" s="56" t="s">
        <v>209</v>
      </c>
      <c r="B107" s="56" t="s">
        <v>210</v>
      </c>
      <c r="C107" s="56" t="s">
        <v>272</v>
      </c>
      <c r="D107" s="56" t="s">
        <v>503</v>
      </c>
      <c r="E107" s="56" t="s">
        <v>277</v>
      </c>
      <c r="F107" s="56" t="s">
        <v>278</v>
      </c>
      <c r="G107" s="56" t="s">
        <v>48</v>
      </c>
      <c r="H107" s="56">
        <v>61</v>
      </c>
      <c r="I107" s="56">
        <v>401</v>
      </c>
      <c r="J107" s="65">
        <v>6.4890710382513657</v>
      </c>
    </row>
    <row r="108" spans="1:10">
      <c r="A108" s="56" t="s">
        <v>209</v>
      </c>
      <c r="B108" s="56" t="s">
        <v>210</v>
      </c>
      <c r="C108" s="56" t="s">
        <v>272</v>
      </c>
      <c r="D108" s="56" t="s">
        <v>503</v>
      </c>
      <c r="E108" s="56" t="s">
        <v>279</v>
      </c>
      <c r="F108" s="56" t="s">
        <v>280</v>
      </c>
      <c r="G108" s="56" t="s">
        <v>48</v>
      </c>
      <c r="H108" s="56">
        <v>1589</v>
      </c>
      <c r="I108" s="56">
        <v>7301</v>
      </c>
      <c r="J108" s="65">
        <v>6.4605621984476613</v>
      </c>
    </row>
    <row r="109" spans="1:10">
      <c r="A109" s="56" t="s">
        <v>209</v>
      </c>
      <c r="B109" s="56" t="s">
        <v>210</v>
      </c>
      <c r="C109" s="56" t="s">
        <v>272</v>
      </c>
      <c r="D109" s="56" t="s">
        <v>503</v>
      </c>
      <c r="E109" s="56" t="s">
        <v>281</v>
      </c>
      <c r="F109" s="56" t="s">
        <v>282</v>
      </c>
      <c r="G109" s="56" t="s">
        <v>48</v>
      </c>
      <c r="H109" s="56">
        <v>360</v>
      </c>
      <c r="I109" s="56">
        <v>5467</v>
      </c>
      <c r="J109" s="65">
        <v>6.4629629629629628</v>
      </c>
    </row>
    <row r="110" spans="1:10">
      <c r="A110" s="56" t="s">
        <v>209</v>
      </c>
      <c r="B110" s="56" t="s">
        <v>210</v>
      </c>
      <c r="C110" s="56" t="s">
        <v>272</v>
      </c>
      <c r="D110" s="56" t="s">
        <v>503</v>
      </c>
      <c r="E110" s="56" t="s">
        <v>283</v>
      </c>
      <c r="F110" s="56" t="s">
        <v>284</v>
      </c>
      <c r="G110" s="56" t="s">
        <v>48</v>
      </c>
      <c r="H110" s="56">
        <v>204</v>
      </c>
      <c r="I110" s="56">
        <v>10270</v>
      </c>
      <c r="J110" s="65">
        <v>6.5359477124183005</v>
      </c>
    </row>
    <row r="111" spans="1:10">
      <c r="A111" s="56" t="s">
        <v>209</v>
      </c>
      <c r="B111" s="56" t="s">
        <v>210</v>
      </c>
      <c r="C111" s="56" t="s">
        <v>272</v>
      </c>
      <c r="D111" s="56" t="s">
        <v>503</v>
      </c>
      <c r="E111" s="56" t="s">
        <v>285</v>
      </c>
      <c r="F111" s="56" t="s">
        <v>286</v>
      </c>
      <c r="G111" s="56" t="s">
        <v>48</v>
      </c>
      <c r="H111" s="56">
        <v>853</v>
      </c>
      <c r="I111" s="56">
        <v>4595</v>
      </c>
      <c r="J111" s="65">
        <v>6.174286830793279</v>
      </c>
    </row>
    <row r="112" spans="1:10">
      <c r="A112" s="56" t="s">
        <v>209</v>
      </c>
      <c r="B112" s="56" t="s">
        <v>210</v>
      </c>
      <c r="C112" s="56" t="s">
        <v>287</v>
      </c>
      <c r="D112" s="56" t="s">
        <v>504</v>
      </c>
      <c r="E112" s="56" t="s">
        <v>288</v>
      </c>
      <c r="F112" s="56" t="s">
        <v>289</v>
      </c>
      <c r="G112" s="56" t="s">
        <v>55</v>
      </c>
      <c r="H112" s="56">
        <v>176</v>
      </c>
      <c r="I112" s="56">
        <v>3972</v>
      </c>
      <c r="J112" s="65">
        <v>6.4109848484848477</v>
      </c>
    </row>
    <row r="113" spans="1:10">
      <c r="A113" s="56" t="s">
        <v>209</v>
      </c>
      <c r="B113" s="56" t="s">
        <v>210</v>
      </c>
      <c r="C113" s="56" t="s">
        <v>287</v>
      </c>
      <c r="D113" s="56" t="s">
        <v>504</v>
      </c>
      <c r="E113" s="56" t="s">
        <v>290</v>
      </c>
      <c r="F113" s="56" t="s">
        <v>291</v>
      </c>
      <c r="G113" s="56" t="s">
        <v>48</v>
      </c>
      <c r="H113" s="56">
        <v>318</v>
      </c>
      <c r="I113" s="56">
        <v>2659</v>
      </c>
      <c r="J113" s="65">
        <v>6.2080712788259964</v>
      </c>
    </row>
    <row r="114" spans="1:10">
      <c r="A114" s="56" t="s">
        <v>209</v>
      </c>
      <c r="B114" s="56" t="s">
        <v>210</v>
      </c>
      <c r="C114" s="56" t="s">
        <v>287</v>
      </c>
      <c r="D114" s="56" t="s">
        <v>504</v>
      </c>
      <c r="E114" s="56" t="s">
        <v>292</v>
      </c>
      <c r="F114" s="56" t="s">
        <v>293</v>
      </c>
      <c r="G114" s="56" t="s">
        <v>48</v>
      </c>
      <c r="H114" s="56">
        <v>222</v>
      </c>
      <c r="I114" s="56">
        <v>4891</v>
      </c>
      <c r="J114" s="65">
        <v>6.4527027027027026</v>
      </c>
    </row>
    <row r="115" spans="1:10">
      <c r="A115" s="56" t="s">
        <v>209</v>
      </c>
      <c r="B115" s="56" t="s">
        <v>210</v>
      </c>
      <c r="C115" s="56" t="s">
        <v>287</v>
      </c>
      <c r="D115" s="56" t="s">
        <v>504</v>
      </c>
      <c r="E115" s="56" t="s">
        <v>294</v>
      </c>
      <c r="F115" s="56" t="s">
        <v>295</v>
      </c>
      <c r="G115" s="56" t="s">
        <v>48</v>
      </c>
      <c r="H115" s="56">
        <v>77</v>
      </c>
      <c r="I115" s="56">
        <v>9237</v>
      </c>
      <c r="J115" s="65">
        <v>5.8225108225108224</v>
      </c>
    </row>
    <row r="116" spans="1:10">
      <c r="A116" s="56" t="s">
        <v>296</v>
      </c>
      <c r="B116" s="56" t="s">
        <v>297</v>
      </c>
      <c r="C116" s="56" t="s">
        <v>298</v>
      </c>
      <c r="D116" s="56" t="s">
        <v>505</v>
      </c>
      <c r="E116" s="56" t="s">
        <v>299</v>
      </c>
      <c r="F116" s="56" t="s">
        <v>300</v>
      </c>
      <c r="G116" s="56" t="s">
        <v>55</v>
      </c>
      <c r="H116" s="56">
        <v>449</v>
      </c>
      <c r="I116" s="56">
        <v>5894</v>
      </c>
      <c r="J116" s="65">
        <v>6.3994060876020793</v>
      </c>
    </row>
    <row r="117" spans="1:10">
      <c r="A117" s="56" t="s">
        <v>296</v>
      </c>
      <c r="B117" s="56" t="s">
        <v>297</v>
      </c>
      <c r="C117" s="56" t="s">
        <v>301</v>
      </c>
      <c r="D117" s="56" t="s">
        <v>506</v>
      </c>
      <c r="E117" s="56" t="s">
        <v>302</v>
      </c>
      <c r="F117" s="56" t="s">
        <v>303</v>
      </c>
      <c r="G117" s="56" t="s">
        <v>48</v>
      </c>
      <c r="H117" s="56">
        <v>162</v>
      </c>
      <c r="I117" s="56">
        <v>3805</v>
      </c>
      <c r="J117" s="65">
        <v>6.0956790123456788</v>
      </c>
    </row>
    <row r="118" spans="1:10">
      <c r="A118" s="56" t="s">
        <v>296</v>
      </c>
      <c r="B118" s="56" t="s">
        <v>297</v>
      </c>
      <c r="C118" s="56" t="s">
        <v>304</v>
      </c>
      <c r="D118" s="56" t="s">
        <v>507</v>
      </c>
      <c r="E118" s="56" t="s">
        <v>305</v>
      </c>
      <c r="F118" s="56" t="s">
        <v>306</v>
      </c>
      <c r="G118" s="56" t="s">
        <v>48</v>
      </c>
      <c r="H118" s="56">
        <v>47</v>
      </c>
      <c r="I118" s="56">
        <v>11162</v>
      </c>
      <c r="J118" s="65">
        <v>5.9397163120567376</v>
      </c>
    </row>
    <row r="119" spans="1:10">
      <c r="A119" s="56" t="s">
        <v>296</v>
      </c>
      <c r="B119" s="56" t="s">
        <v>297</v>
      </c>
      <c r="C119" s="56" t="s">
        <v>304</v>
      </c>
      <c r="D119" s="56" t="s">
        <v>507</v>
      </c>
      <c r="E119" s="56" t="s">
        <v>307</v>
      </c>
      <c r="F119" s="56" t="s">
        <v>308</v>
      </c>
      <c r="G119" s="56" t="s">
        <v>48</v>
      </c>
      <c r="H119" s="56">
        <v>1329</v>
      </c>
      <c r="I119" s="56">
        <v>4779</v>
      </c>
      <c r="J119" s="65">
        <v>6.753824931025834</v>
      </c>
    </row>
    <row r="120" spans="1:10">
      <c r="A120" s="56" t="s">
        <v>296</v>
      </c>
      <c r="B120" s="56" t="s">
        <v>297</v>
      </c>
      <c r="C120" s="56" t="s">
        <v>309</v>
      </c>
      <c r="D120" s="56" t="s">
        <v>508</v>
      </c>
      <c r="E120" s="56" t="s">
        <v>310</v>
      </c>
      <c r="F120" s="56" t="s">
        <v>311</v>
      </c>
      <c r="G120" s="56" t="s">
        <v>48</v>
      </c>
      <c r="H120" s="56">
        <v>120</v>
      </c>
      <c r="I120" s="56">
        <v>6324</v>
      </c>
      <c r="J120" s="65">
        <v>6.354166666666667</v>
      </c>
    </row>
    <row r="121" spans="1:10">
      <c r="A121" s="56" t="s">
        <v>296</v>
      </c>
      <c r="B121" s="56" t="s">
        <v>297</v>
      </c>
      <c r="C121" s="56" t="s">
        <v>309</v>
      </c>
      <c r="D121" s="56" t="s">
        <v>508</v>
      </c>
      <c r="E121" s="56" t="s">
        <v>312</v>
      </c>
      <c r="F121" s="56" t="s">
        <v>313</v>
      </c>
      <c r="G121" s="56" t="s">
        <v>88</v>
      </c>
      <c r="H121" s="56">
        <v>117</v>
      </c>
      <c r="I121" s="56">
        <v>2680</v>
      </c>
      <c r="J121" s="65">
        <v>6.5811965811965809</v>
      </c>
    </row>
    <row r="122" spans="1:10">
      <c r="A122" s="56" t="s">
        <v>296</v>
      </c>
      <c r="B122" s="56" t="s">
        <v>297</v>
      </c>
      <c r="C122" s="56" t="s">
        <v>309</v>
      </c>
      <c r="D122" s="56" t="s">
        <v>508</v>
      </c>
      <c r="E122" s="56" t="s">
        <v>314</v>
      </c>
      <c r="F122" s="56" t="s">
        <v>315</v>
      </c>
      <c r="G122" s="56" t="s">
        <v>55</v>
      </c>
      <c r="H122" s="56">
        <v>646</v>
      </c>
      <c r="I122" s="56">
        <v>3659</v>
      </c>
      <c r="J122" s="65">
        <v>6.9930340557275539</v>
      </c>
    </row>
    <row r="123" spans="1:10">
      <c r="A123" s="56" t="s">
        <v>296</v>
      </c>
      <c r="B123" s="56" t="s">
        <v>297</v>
      </c>
      <c r="C123" s="56" t="s">
        <v>309</v>
      </c>
      <c r="D123" s="56" t="s">
        <v>508</v>
      </c>
      <c r="E123" s="56" t="s">
        <v>316</v>
      </c>
      <c r="F123" s="56" t="s">
        <v>317</v>
      </c>
      <c r="G123" s="56" t="s">
        <v>48</v>
      </c>
      <c r="H123" s="56">
        <v>267</v>
      </c>
      <c r="I123" s="56">
        <v>3739</v>
      </c>
      <c r="J123" s="65">
        <v>6.4076154806491878</v>
      </c>
    </row>
    <row r="124" spans="1:10">
      <c r="A124" s="56" t="s">
        <v>296</v>
      </c>
      <c r="B124" s="56" t="s">
        <v>297</v>
      </c>
      <c r="C124" s="56" t="s">
        <v>309</v>
      </c>
      <c r="D124" s="56" t="s">
        <v>508</v>
      </c>
      <c r="E124" s="56" t="s">
        <v>318</v>
      </c>
      <c r="F124" s="56" t="s">
        <v>319</v>
      </c>
      <c r="G124" s="56" t="s">
        <v>48</v>
      </c>
      <c r="H124" s="56">
        <v>645</v>
      </c>
      <c r="I124" s="56">
        <v>5221</v>
      </c>
      <c r="J124" s="65">
        <v>5.9547803617571065</v>
      </c>
    </row>
    <row r="125" spans="1:10">
      <c r="A125" s="56" t="s">
        <v>296</v>
      </c>
      <c r="B125" s="56" t="s">
        <v>297</v>
      </c>
      <c r="C125" s="56" t="s">
        <v>320</v>
      </c>
      <c r="D125" s="56" t="s">
        <v>509</v>
      </c>
      <c r="E125" s="56" t="s">
        <v>321</v>
      </c>
      <c r="F125" s="56" t="s">
        <v>322</v>
      </c>
      <c r="G125" s="56" t="s">
        <v>48</v>
      </c>
      <c r="H125" s="56">
        <v>186</v>
      </c>
      <c r="I125" s="56">
        <v>8926</v>
      </c>
      <c r="J125" s="65">
        <v>5.470430107526882</v>
      </c>
    </row>
    <row r="126" spans="1:10">
      <c r="A126" s="56" t="s">
        <v>296</v>
      </c>
      <c r="B126" s="56" t="s">
        <v>297</v>
      </c>
      <c r="C126" s="56" t="s">
        <v>320</v>
      </c>
      <c r="D126" s="56" t="s">
        <v>509</v>
      </c>
      <c r="E126" s="56" t="s">
        <v>323</v>
      </c>
      <c r="F126" s="56" t="s">
        <v>324</v>
      </c>
      <c r="G126" s="56" t="s">
        <v>55</v>
      </c>
      <c r="H126" s="56">
        <v>1106</v>
      </c>
      <c r="I126" s="56">
        <v>4681</v>
      </c>
      <c r="J126" s="65">
        <v>6.7020795660036168</v>
      </c>
    </row>
    <row r="127" spans="1:10">
      <c r="A127" s="56" t="s">
        <v>296</v>
      </c>
      <c r="B127" s="56" t="s">
        <v>297</v>
      </c>
      <c r="C127" s="56" t="s">
        <v>320</v>
      </c>
      <c r="D127" s="56" t="s">
        <v>509</v>
      </c>
      <c r="E127" s="56" t="s">
        <v>325</v>
      </c>
      <c r="F127" s="56" t="s">
        <v>326</v>
      </c>
      <c r="G127" s="56" t="s">
        <v>88</v>
      </c>
      <c r="H127" s="56">
        <v>276</v>
      </c>
      <c r="I127" s="56">
        <v>2363</v>
      </c>
      <c r="J127" s="65">
        <v>6.9172705314009661</v>
      </c>
    </row>
    <row r="128" spans="1:10">
      <c r="A128" s="56" t="s">
        <v>296</v>
      </c>
      <c r="B128" s="56" t="s">
        <v>297</v>
      </c>
      <c r="C128" s="56" t="s">
        <v>320</v>
      </c>
      <c r="D128" s="56" t="s">
        <v>509</v>
      </c>
      <c r="E128" s="56" t="s">
        <v>327</v>
      </c>
      <c r="F128" s="56" t="s">
        <v>328</v>
      </c>
      <c r="G128" s="56" t="s">
        <v>48</v>
      </c>
      <c r="H128" s="56">
        <v>406</v>
      </c>
      <c r="I128" s="56">
        <v>3741</v>
      </c>
      <c r="J128" s="65">
        <v>5.8415435139573066</v>
      </c>
    </row>
    <row r="129" spans="1:10">
      <c r="A129" s="56" t="s">
        <v>296</v>
      </c>
      <c r="B129" s="56" t="s">
        <v>297</v>
      </c>
      <c r="C129" s="56" t="s">
        <v>329</v>
      </c>
      <c r="D129" s="56" t="s">
        <v>510</v>
      </c>
      <c r="E129" s="56" t="s">
        <v>330</v>
      </c>
      <c r="F129" s="56" t="s">
        <v>331</v>
      </c>
      <c r="G129" s="56" t="s">
        <v>48</v>
      </c>
      <c r="H129" s="56">
        <v>3762</v>
      </c>
      <c r="I129" s="56">
        <v>11468</v>
      </c>
      <c r="J129" s="65">
        <v>6.3430356193514088</v>
      </c>
    </row>
    <row r="130" spans="1:10">
      <c r="A130" s="56" t="s">
        <v>296</v>
      </c>
      <c r="B130" s="56" t="s">
        <v>297</v>
      </c>
      <c r="C130" s="56" t="s">
        <v>329</v>
      </c>
      <c r="D130" s="56" t="s">
        <v>510</v>
      </c>
      <c r="E130" s="56" t="s">
        <v>332</v>
      </c>
      <c r="F130" s="56" t="s">
        <v>333</v>
      </c>
      <c r="G130" s="56" t="s">
        <v>55</v>
      </c>
      <c r="H130" s="56">
        <v>2275</v>
      </c>
      <c r="I130" s="56">
        <v>4368</v>
      </c>
      <c r="J130" s="65">
        <v>7.1681318681318684</v>
      </c>
    </row>
    <row r="131" spans="1:10">
      <c r="A131" s="56" t="s">
        <v>296</v>
      </c>
      <c r="B131" s="56" t="s">
        <v>297</v>
      </c>
      <c r="C131" s="56" t="s">
        <v>329</v>
      </c>
      <c r="D131" s="56" t="s">
        <v>510</v>
      </c>
      <c r="E131" s="56" t="s">
        <v>334</v>
      </c>
      <c r="F131" s="56" t="s">
        <v>335</v>
      </c>
      <c r="G131" s="56" t="s">
        <v>88</v>
      </c>
      <c r="H131" s="56">
        <v>89</v>
      </c>
      <c r="I131" s="56">
        <v>2775</v>
      </c>
      <c r="J131" s="65">
        <v>6.8164794007490634</v>
      </c>
    </row>
    <row r="132" spans="1:10">
      <c r="A132" s="56" t="s">
        <v>296</v>
      </c>
      <c r="B132" s="56" t="s">
        <v>297</v>
      </c>
      <c r="C132" s="56" t="s">
        <v>329</v>
      </c>
      <c r="D132" s="56" t="s">
        <v>510</v>
      </c>
      <c r="E132" s="56" t="s">
        <v>336</v>
      </c>
      <c r="F132" s="56" t="s">
        <v>337</v>
      </c>
      <c r="G132" s="56" t="s">
        <v>178</v>
      </c>
      <c r="H132" s="56">
        <v>1120</v>
      </c>
      <c r="I132" s="56">
        <v>5575</v>
      </c>
      <c r="J132" s="65">
        <v>4.4055059523809526</v>
      </c>
    </row>
    <row r="133" spans="1:10">
      <c r="A133" s="56" t="s">
        <v>296</v>
      </c>
      <c r="B133" s="56" t="s">
        <v>297</v>
      </c>
      <c r="C133" s="56" t="s">
        <v>329</v>
      </c>
      <c r="D133" s="56" t="s">
        <v>510</v>
      </c>
      <c r="E133" s="56" t="s">
        <v>338</v>
      </c>
      <c r="F133" s="56" t="s">
        <v>339</v>
      </c>
      <c r="G133" s="56" t="s">
        <v>48</v>
      </c>
      <c r="H133" s="56">
        <v>359</v>
      </c>
      <c r="I133" s="56">
        <v>6935</v>
      </c>
      <c r="J133" s="65">
        <v>5.6429897864438257</v>
      </c>
    </row>
    <row r="134" spans="1:10">
      <c r="A134" s="56" t="s">
        <v>340</v>
      </c>
      <c r="B134" s="56" t="s">
        <v>341</v>
      </c>
      <c r="C134" s="56" t="s">
        <v>342</v>
      </c>
      <c r="D134" s="56" t="s">
        <v>511</v>
      </c>
      <c r="E134" s="56" t="s">
        <v>343</v>
      </c>
      <c r="F134" s="56" t="s">
        <v>344</v>
      </c>
      <c r="G134" s="56" t="s">
        <v>48</v>
      </c>
      <c r="H134" s="56">
        <v>265</v>
      </c>
      <c r="I134" s="56">
        <v>7856</v>
      </c>
      <c r="J134" s="65">
        <v>6.8301886792452828</v>
      </c>
    </row>
    <row r="135" spans="1:10">
      <c r="A135" s="56" t="s">
        <v>340</v>
      </c>
      <c r="B135" s="56" t="s">
        <v>341</v>
      </c>
      <c r="C135" s="56" t="s">
        <v>342</v>
      </c>
      <c r="D135" s="56" t="s">
        <v>511</v>
      </c>
      <c r="E135" s="56" t="s">
        <v>345</v>
      </c>
      <c r="F135" s="56" t="s">
        <v>346</v>
      </c>
      <c r="G135" s="56" t="s">
        <v>48</v>
      </c>
      <c r="H135" s="56">
        <v>27</v>
      </c>
      <c r="I135" s="56">
        <v>9614</v>
      </c>
      <c r="J135" s="65">
        <v>6.2345679012345681</v>
      </c>
    </row>
    <row r="136" spans="1:10">
      <c r="A136" s="56" t="s">
        <v>340</v>
      </c>
      <c r="B136" s="56" t="s">
        <v>341</v>
      </c>
      <c r="C136" s="56" t="s">
        <v>342</v>
      </c>
      <c r="D136" s="56" t="s">
        <v>511</v>
      </c>
      <c r="E136" s="56" t="s">
        <v>347</v>
      </c>
      <c r="F136" s="56" t="s">
        <v>348</v>
      </c>
      <c r="G136" s="56" t="s">
        <v>55</v>
      </c>
      <c r="H136" s="56">
        <v>1070</v>
      </c>
      <c r="I136" s="56">
        <v>7066</v>
      </c>
      <c r="J136" s="65">
        <v>6.7702492211838008</v>
      </c>
    </row>
    <row r="137" spans="1:10">
      <c r="A137" s="56" t="s">
        <v>340</v>
      </c>
      <c r="B137" s="56" t="s">
        <v>341</v>
      </c>
      <c r="C137" s="56" t="s">
        <v>342</v>
      </c>
      <c r="D137" s="56" t="s">
        <v>511</v>
      </c>
      <c r="E137" s="56" t="s">
        <v>349</v>
      </c>
      <c r="F137" s="56" t="s">
        <v>350</v>
      </c>
      <c r="G137" s="56" t="s">
        <v>48</v>
      </c>
      <c r="H137" s="56">
        <v>1401</v>
      </c>
      <c r="I137" s="56">
        <v>9294</v>
      </c>
      <c r="J137" s="65">
        <v>6.7225791101594101</v>
      </c>
    </row>
    <row r="138" spans="1:10">
      <c r="A138" s="56" t="s">
        <v>340</v>
      </c>
      <c r="B138" s="56" t="s">
        <v>341</v>
      </c>
      <c r="C138" s="56" t="s">
        <v>342</v>
      </c>
      <c r="D138" s="56" t="s">
        <v>511</v>
      </c>
      <c r="E138" s="56" t="s">
        <v>351</v>
      </c>
      <c r="F138" s="56" t="s">
        <v>352</v>
      </c>
      <c r="G138" s="56" t="s">
        <v>48</v>
      </c>
      <c r="H138" s="56">
        <v>348</v>
      </c>
      <c r="I138" s="56">
        <v>7106</v>
      </c>
      <c r="J138" s="65">
        <v>6.6235632183908049</v>
      </c>
    </row>
    <row r="139" spans="1:10">
      <c r="A139" s="56" t="s">
        <v>340</v>
      </c>
      <c r="B139" s="56" t="s">
        <v>341</v>
      </c>
      <c r="C139" s="56" t="s">
        <v>353</v>
      </c>
      <c r="D139" s="56" t="s">
        <v>512</v>
      </c>
      <c r="E139" s="56" t="s">
        <v>354</v>
      </c>
      <c r="F139" s="56" t="s">
        <v>355</v>
      </c>
      <c r="G139" s="56" t="s">
        <v>48</v>
      </c>
      <c r="H139" s="56">
        <v>1200</v>
      </c>
      <c r="I139" s="56">
        <v>6357</v>
      </c>
      <c r="J139" s="65">
        <v>7.135416666666667</v>
      </c>
    </row>
    <row r="140" spans="1:10">
      <c r="A140" s="56" t="s">
        <v>340</v>
      </c>
      <c r="B140" s="56" t="s">
        <v>341</v>
      </c>
      <c r="C140" s="56" t="s">
        <v>353</v>
      </c>
      <c r="D140" s="56" t="s">
        <v>512</v>
      </c>
      <c r="E140" s="56" t="s">
        <v>356</v>
      </c>
      <c r="F140" s="56" t="s">
        <v>357</v>
      </c>
      <c r="G140" s="56" t="s">
        <v>55</v>
      </c>
      <c r="H140" s="56">
        <v>1326</v>
      </c>
      <c r="I140" s="56">
        <v>6258</v>
      </c>
      <c r="J140" s="65">
        <v>6.7615635997988948</v>
      </c>
    </row>
    <row r="141" spans="1:10">
      <c r="A141" s="56" t="s">
        <v>340</v>
      </c>
      <c r="B141" s="56" t="s">
        <v>341</v>
      </c>
      <c r="C141" s="56" t="s">
        <v>353</v>
      </c>
      <c r="D141" s="56" t="s">
        <v>512</v>
      </c>
      <c r="E141" s="56" t="s">
        <v>358</v>
      </c>
      <c r="F141" s="56" t="s">
        <v>359</v>
      </c>
      <c r="G141" s="56" t="s">
        <v>48</v>
      </c>
      <c r="H141" s="56">
        <v>3648</v>
      </c>
      <c r="I141" s="56">
        <v>27674</v>
      </c>
      <c r="J141" s="65">
        <v>6.3845486111111107</v>
      </c>
    </row>
    <row r="142" spans="1:10">
      <c r="A142" s="56" t="s">
        <v>340</v>
      </c>
      <c r="B142" s="56" t="s">
        <v>341</v>
      </c>
      <c r="C142" s="56" t="s">
        <v>353</v>
      </c>
      <c r="D142" s="56" t="s">
        <v>512</v>
      </c>
      <c r="E142" s="56" t="s">
        <v>360</v>
      </c>
      <c r="F142" s="56" t="s">
        <v>361</v>
      </c>
      <c r="G142" s="56" t="s">
        <v>178</v>
      </c>
      <c r="H142" s="56">
        <v>856</v>
      </c>
      <c r="I142" s="56">
        <v>6686</v>
      </c>
      <c r="J142" s="65">
        <v>5.69898753894081</v>
      </c>
    </row>
    <row r="143" spans="1:10">
      <c r="A143" s="56" t="s">
        <v>340</v>
      </c>
      <c r="B143" s="56" t="s">
        <v>341</v>
      </c>
      <c r="C143" s="56" t="s">
        <v>353</v>
      </c>
      <c r="D143" s="56" t="s">
        <v>512</v>
      </c>
      <c r="E143" s="56" t="s">
        <v>362</v>
      </c>
      <c r="F143" s="56" t="s">
        <v>363</v>
      </c>
      <c r="G143" s="56" t="s">
        <v>48</v>
      </c>
      <c r="H143" s="56">
        <v>2227</v>
      </c>
      <c r="I143" s="56">
        <v>19067</v>
      </c>
      <c r="J143" s="65">
        <v>6.1427929950606197</v>
      </c>
    </row>
    <row r="144" spans="1:10">
      <c r="A144" s="56" t="s">
        <v>340</v>
      </c>
      <c r="B144" s="56" t="s">
        <v>341</v>
      </c>
      <c r="C144" s="56" t="s">
        <v>353</v>
      </c>
      <c r="D144" s="56" t="s">
        <v>512</v>
      </c>
      <c r="E144" s="56" t="s">
        <v>364</v>
      </c>
      <c r="F144" s="56" t="s">
        <v>365</v>
      </c>
      <c r="G144" s="56" t="s">
        <v>55</v>
      </c>
      <c r="H144" s="56">
        <v>204</v>
      </c>
      <c r="I144" s="56">
        <v>3614</v>
      </c>
      <c r="J144" s="65">
        <v>6.409313725490196</v>
      </c>
    </row>
    <row r="145" spans="1:10">
      <c r="A145" s="56" t="s">
        <v>340</v>
      </c>
      <c r="B145" s="56" t="s">
        <v>341</v>
      </c>
      <c r="C145" s="56" t="s">
        <v>353</v>
      </c>
      <c r="D145" s="56" t="s">
        <v>512</v>
      </c>
      <c r="E145" s="56" t="s">
        <v>366</v>
      </c>
      <c r="F145" s="56" t="s">
        <v>367</v>
      </c>
      <c r="G145" s="56" t="s">
        <v>48</v>
      </c>
      <c r="H145" s="56">
        <v>66</v>
      </c>
      <c r="I145" s="56">
        <v>4061</v>
      </c>
      <c r="J145" s="65">
        <v>5.9217171717171713</v>
      </c>
    </row>
    <row r="146" spans="1:10">
      <c r="A146" s="56" t="s">
        <v>340</v>
      </c>
      <c r="B146" s="56" t="s">
        <v>341</v>
      </c>
      <c r="C146" s="56" t="s">
        <v>353</v>
      </c>
      <c r="D146" s="56" t="s">
        <v>512</v>
      </c>
      <c r="E146" s="56" t="s">
        <v>368</v>
      </c>
      <c r="F146" s="56" t="s">
        <v>369</v>
      </c>
      <c r="G146" s="56" t="s">
        <v>72</v>
      </c>
      <c r="H146" s="56">
        <v>122</v>
      </c>
      <c r="I146" s="56">
        <v>3271</v>
      </c>
      <c r="J146" s="65">
        <v>6.3456284153005464</v>
      </c>
    </row>
    <row r="147" spans="1:10">
      <c r="A147" s="56" t="s">
        <v>340</v>
      </c>
      <c r="B147" s="56" t="s">
        <v>341</v>
      </c>
      <c r="C147" s="56" t="s">
        <v>353</v>
      </c>
      <c r="D147" s="56" t="s">
        <v>512</v>
      </c>
      <c r="E147" s="56" t="s">
        <v>370</v>
      </c>
      <c r="F147" s="56" t="s">
        <v>371</v>
      </c>
      <c r="G147" s="56" t="s">
        <v>48</v>
      </c>
      <c r="H147" s="56">
        <v>91</v>
      </c>
      <c r="I147" s="56">
        <v>6789</v>
      </c>
      <c r="J147" s="65">
        <v>6.7948717948717956</v>
      </c>
    </row>
    <row r="148" spans="1:10">
      <c r="A148" s="56" t="s">
        <v>340</v>
      </c>
      <c r="B148" s="56" t="s">
        <v>341</v>
      </c>
      <c r="C148" s="56" t="s">
        <v>372</v>
      </c>
      <c r="D148" s="56" t="s">
        <v>513</v>
      </c>
      <c r="E148" s="56" t="s">
        <v>373</v>
      </c>
      <c r="F148" s="56" t="s">
        <v>374</v>
      </c>
      <c r="G148" s="56" t="s">
        <v>48</v>
      </c>
      <c r="H148" s="56">
        <v>340</v>
      </c>
      <c r="I148" s="56">
        <v>4147</v>
      </c>
      <c r="J148" s="65">
        <v>6.4950980392156863</v>
      </c>
    </row>
    <row r="149" spans="1:10">
      <c r="A149" s="56" t="s">
        <v>340</v>
      </c>
      <c r="B149" s="56" t="s">
        <v>341</v>
      </c>
      <c r="C149" s="56" t="s">
        <v>372</v>
      </c>
      <c r="D149" s="56" t="s">
        <v>513</v>
      </c>
      <c r="E149" s="56" t="s">
        <v>375</v>
      </c>
      <c r="F149" s="56" t="s">
        <v>376</v>
      </c>
      <c r="G149" s="56" t="s">
        <v>88</v>
      </c>
      <c r="H149" s="56">
        <v>228</v>
      </c>
      <c r="I149" s="56">
        <v>1484</v>
      </c>
      <c r="J149" s="65">
        <v>6.4619883040935671</v>
      </c>
    </row>
    <row r="150" spans="1:10">
      <c r="A150" s="56" t="s">
        <v>340</v>
      </c>
      <c r="B150" s="56" t="s">
        <v>341</v>
      </c>
      <c r="C150" s="56" t="s">
        <v>372</v>
      </c>
      <c r="D150" s="56" t="s">
        <v>513</v>
      </c>
      <c r="E150" s="56" t="s">
        <v>377</v>
      </c>
      <c r="F150" s="56" t="s">
        <v>378</v>
      </c>
      <c r="G150" s="56" t="s">
        <v>55</v>
      </c>
      <c r="H150" s="56">
        <v>685</v>
      </c>
      <c r="I150" s="56">
        <v>4047</v>
      </c>
      <c r="J150" s="65">
        <v>6.8978102189781021</v>
      </c>
    </row>
    <row r="151" spans="1:10">
      <c r="A151" s="56" t="s">
        <v>340</v>
      </c>
      <c r="B151" s="56" t="s">
        <v>341</v>
      </c>
      <c r="C151" s="56" t="s">
        <v>372</v>
      </c>
      <c r="D151" s="56" t="s">
        <v>513</v>
      </c>
      <c r="E151" s="56" t="s">
        <v>379</v>
      </c>
      <c r="F151" s="56" t="s">
        <v>380</v>
      </c>
      <c r="G151" s="56" t="s">
        <v>48</v>
      </c>
      <c r="H151" s="56">
        <v>329</v>
      </c>
      <c r="I151" s="56">
        <v>4488</v>
      </c>
      <c r="J151" s="65">
        <v>5.7168186423505567</v>
      </c>
    </row>
    <row r="152" spans="1:10">
      <c r="A152" s="56" t="s">
        <v>340</v>
      </c>
      <c r="B152" s="56" t="s">
        <v>341</v>
      </c>
      <c r="C152" s="56" t="s">
        <v>372</v>
      </c>
      <c r="D152" s="56" t="s">
        <v>513</v>
      </c>
      <c r="E152" s="56" t="s">
        <v>381</v>
      </c>
      <c r="F152" s="56" t="s">
        <v>382</v>
      </c>
      <c r="G152" s="56" t="s">
        <v>48</v>
      </c>
      <c r="H152" s="56">
        <v>49</v>
      </c>
      <c r="I152" s="56">
        <v>2549</v>
      </c>
      <c r="J152" s="65">
        <v>6.2414965986394551</v>
      </c>
    </row>
    <row r="153" spans="1:10">
      <c r="A153" s="56" t="s">
        <v>340</v>
      </c>
      <c r="B153" s="56" t="s">
        <v>341</v>
      </c>
      <c r="C153" s="56" t="s">
        <v>372</v>
      </c>
      <c r="D153" s="56" t="s">
        <v>513</v>
      </c>
      <c r="E153" s="56" t="s">
        <v>383</v>
      </c>
      <c r="F153" s="56" t="s">
        <v>384</v>
      </c>
      <c r="G153" s="56" t="s">
        <v>72</v>
      </c>
      <c r="H153" s="56">
        <v>48</v>
      </c>
      <c r="I153" s="56">
        <v>1888</v>
      </c>
      <c r="J153" s="65">
        <v>6.8923611111111107</v>
      </c>
    </row>
    <row r="154" spans="1:10">
      <c r="A154" s="56" t="s">
        <v>340</v>
      </c>
      <c r="B154" s="56" t="s">
        <v>341</v>
      </c>
      <c r="C154" s="56" t="s">
        <v>372</v>
      </c>
      <c r="D154" s="56" t="s">
        <v>513</v>
      </c>
      <c r="E154" s="56" t="s">
        <v>385</v>
      </c>
      <c r="F154" s="56" t="s">
        <v>386</v>
      </c>
      <c r="G154" s="56" t="s">
        <v>48</v>
      </c>
      <c r="H154" s="56">
        <v>1696</v>
      </c>
      <c r="I154" s="56">
        <v>13593</v>
      </c>
      <c r="J154" s="65">
        <v>6.1306014150943398</v>
      </c>
    </row>
    <row r="155" spans="1:10">
      <c r="A155" s="56" t="s">
        <v>340</v>
      </c>
      <c r="B155" s="56" t="s">
        <v>341</v>
      </c>
      <c r="C155" s="56" t="s">
        <v>372</v>
      </c>
      <c r="D155" s="56" t="s">
        <v>513</v>
      </c>
      <c r="E155" s="56" t="s">
        <v>387</v>
      </c>
      <c r="F155" s="56" t="s">
        <v>388</v>
      </c>
      <c r="G155" s="56" t="s">
        <v>72</v>
      </c>
      <c r="H155" s="56">
        <v>204</v>
      </c>
      <c r="I155" s="56">
        <v>1598</v>
      </c>
      <c r="J155" s="65">
        <v>5.625</v>
      </c>
    </row>
    <row r="156" spans="1:10">
      <c r="A156" s="56" t="s">
        <v>340</v>
      </c>
      <c r="B156" s="56" t="s">
        <v>341</v>
      </c>
      <c r="C156" s="56" t="s">
        <v>372</v>
      </c>
      <c r="D156" s="56" t="s">
        <v>513</v>
      </c>
      <c r="E156" s="56" t="s">
        <v>389</v>
      </c>
      <c r="F156" s="56" t="s">
        <v>390</v>
      </c>
      <c r="G156" s="56" t="s">
        <v>55</v>
      </c>
      <c r="H156" s="56">
        <v>2715</v>
      </c>
      <c r="I156" s="56">
        <v>10479</v>
      </c>
      <c r="J156" s="65">
        <v>6.8753836709637817</v>
      </c>
    </row>
    <row r="157" spans="1:10">
      <c r="A157" s="56" t="s">
        <v>340</v>
      </c>
      <c r="B157" s="56" t="s">
        <v>341</v>
      </c>
      <c r="C157" s="56" t="s">
        <v>372</v>
      </c>
      <c r="D157" s="56" t="s">
        <v>513</v>
      </c>
      <c r="E157" s="56" t="s">
        <v>391</v>
      </c>
      <c r="F157" s="56" t="s">
        <v>392</v>
      </c>
      <c r="G157" s="56" t="s">
        <v>48</v>
      </c>
      <c r="H157" s="56">
        <v>337</v>
      </c>
      <c r="I157" s="56">
        <v>5119</v>
      </c>
      <c r="J157" s="65">
        <v>6.7012858555885266</v>
      </c>
    </row>
    <row r="158" spans="1:10">
      <c r="A158" s="56" t="s">
        <v>340</v>
      </c>
      <c r="B158" s="56" t="s">
        <v>341</v>
      </c>
      <c r="C158" s="56" t="s">
        <v>372</v>
      </c>
      <c r="D158" s="56" t="s">
        <v>513</v>
      </c>
      <c r="E158" s="56" t="s">
        <v>393</v>
      </c>
      <c r="F158" s="56" t="s">
        <v>394</v>
      </c>
      <c r="G158" s="56" t="s">
        <v>48</v>
      </c>
      <c r="H158" s="56">
        <v>250</v>
      </c>
      <c r="I158" s="56">
        <v>3339</v>
      </c>
      <c r="J158" s="65">
        <v>6.1466666666666674</v>
      </c>
    </row>
    <row r="159" spans="1:10">
      <c r="A159" s="56" t="s">
        <v>340</v>
      </c>
      <c r="B159" s="56" t="s">
        <v>341</v>
      </c>
      <c r="C159" s="56" t="s">
        <v>372</v>
      </c>
      <c r="D159" s="56" t="s">
        <v>513</v>
      </c>
      <c r="E159" s="56" t="s">
        <v>395</v>
      </c>
      <c r="F159" s="56" t="s">
        <v>396</v>
      </c>
      <c r="G159" s="56" t="s">
        <v>48</v>
      </c>
      <c r="H159" s="56">
        <v>241</v>
      </c>
      <c r="I159" s="56">
        <v>6818</v>
      </c>
      <c r="J159" s="65">
        <v>6.2586445366528354</v>
      </c>
    </row>
    <row r="160" spans="1:10">
      <c r="A160" s="56" t="s">
        <v>340</v>
      </c>
      <c r="B160" s="56" t="s">
        <v>341</v>
      </c>
      <c r="C160" s="56" t="s">
        <v>372</v>
      </c>
      <c r="D160" s="56" t="s">
        <v>513</v>
      </c>
      <c r="E160" s="56" t="s">
        <v>397</v>
      </c>
      <c r="F160" s="56" t="s">
        <v>398</v>
      </c>
      <c r="G160" s="56" t="s">
        <v>72</v>
      </c>
      <c r="H160" s="56">
        <v>393</v>
      </c>
      <c r="I160" s="56">
        <v>1629</v>
      </c>
      <c r="J160" s="65">
        <v>6.9274809160305342</v>
      </c>
    </row>
    <row r="161" spans="1:10">
      <c r="A161" s="56" t="s">
        <v>340</v>
      </c>
      <c r="B161" s="56" t="s">
        <v>341</v>
      </c>
      <c r="C161" s="56" t="s">
        <v>372</v>
      </c>
      <c r="D161" s="56" t="s">
        <v>513</v>
      </c>
      <c r="E161" s="56" t="s">
        <v>399</v>
      </c>
      <c r="F161" s="56" t="s">
        <v>400</v>
      </c>
      <c r="G161" s="56" t="s">
        <v>72</v>
      </c>
      <c r="H161" s="56">
        <v>84</v>
      </c>
      <c r="I161" s="56">
        <v>1515</v>
      </c>
      <c r="J161" s="65">
        <v>7.0337301587301591</v>
      </c>
    </row>
    <row r="162" spans="1:10">
      <c r="A162" s="56" t="s">
        <v>340</v>
      </c>
      <c r="B162" s="56" t="s">
        <v>341</v>
      </c>
      <c r="C162" s="56" t="s">
        <v>372</v>
      </c>
      <c r="D162" s="56" t="s">
        <v>513</v>
      </c>
      <c r="E162" s="56" t="s">
        <v>401</v>
      </c>
      <c r="F162" s="56" t="s">
        <v>402</v>
      </c>
      <c r="G162" s="56" t="s">
        <v>48</v>
      </c>
      <c r="H162" s="56">
        <v>65</v>
      </c>
      <c r="I162" s="56">
        <v>4380</v>
      </c>
      <c r="J162" s="65">
        <v>6.7307692307692308</v>
      </c>
    </row>
    <row r="163" spans="1:10">
      <c r="A163" s="56" t="s">
        <v>340</v>
      </c>
      <c r="B163" s="56" t="s">
        <v>341</v>
      </c>
      <c r="C163" s="56" t="s">
        <v>372</v>
      </c>
      <c r="D163" s="56" t="s">
        <v>513</v>
      </c>
      <c r="E163" s="56" t="s">
        <v>403</v>
      </c>
      <c r="F163" s="56" t="s">
        <v>404</v>
      </c>
      <c r="G163" s="56" t="s">
        <v>88</v>
      </c>
      <c r="H163" s="56">
        <v>199</v>
      </c>
      <c r="I163" s="56">
        <v>1904</v>
      </c>
      <c r="J163" s="65">
        <v>6.4740368509212729</v>
      </c>
    </row>
    <row r="164" spans="1:10">
      <c r="A164" s="56" t="s">
        <v>340</v>
      </c>
      <c r="B164" s="56" t="s">
        <v>341</v>
      </c>
      <c r="C164" s="56" t="s">
        <v>372</v>
      </c>
      <c r="D164" s="56" t="s">
        <v>513</v>
      </c>
      <c r="E164" s="56" t="s">
        <v>405</v>
      </c>
      <c r="F164" s="56" t="s">
        <v>406</v>
      </c>
      <c r="G164" s="56" t="s">
        <v>48</v>
      </c>
      <c r="H164" s="56">
        <v>28</v>
      </c>
      <c r="I164" s="56">
        <v>6619</v>
      </c>
      <c r="J164" s="65">
        <v>4.9107142857142856</v>
      </c>
    </row>
    <row r="165" spans="1:10">
      <c r="A165" s="56" t="s">
        <v>407</v>
      </c>
      <c r="B165" s="56" t="s">
        <v>408</v>
      </c>
      <c r="C165" s="56" t="s">
        <v>409</v>
      </c>
      <c r="D165" s="56" t="s">
        <v>514</v>
      </c>
      <c r="E165" s="56" t="s">
        <v>410</v>
      </c>
      <c r="F165" s="56" t="s">
        <v>411</v>
      </c>
      <c r="G165" s="56" t="s">
        <v>48</v>
      </c>
      <c r="H165" s="56">
        <v>341</v>
      </c>
      <c r="I165" s="56">
        <v>4083</v>
      </c>
      <c r="J165" s="65">
        <v>6.5762463343108504</v>
      </c>
    </row>
    <row r="166" spans="1:10">
      <c r="A166" s="56" t="s">
        <v>407</v>
      </c>
      <c r="B166" s="56" t="s">
        <v>408</v>
      </c>
      <c r="C166" s="56" t="s">
        <v>409</v>
      </c>
      <c r="D166" s="56" t="s">
        <v>514</v>
      </c>
      <c r="E166" s="56" t="s">
        <v>412</v>
      </c>
      <c r="F166" s="56" t="s">
        <v>413</v>
      </c>
      <c r="G166" s="56" t="s">
        <v>48</v>
      </c>
      <c r="H166" s="56">
        <v>495</v>
      </c>
      <c r="I166" s="56">
        <v>6583</v>
      </c>
      <c r="J166" s="65">
        <v>5.9326599326599325</v>
      </c>
    </row>
    <row r="167" spans="1:10">
      <c r="A167" s="56" t="s">
        <v>407</v>
      </c>
      <c r="B167" s="56" t="s">
        <v>408</v>
      </c>
      <c r="C167" s="56" t="s">
        <v>409</v>
      </c>
      <c r="D167" s="56" t="s">
        <v>514</v>
      </c>
      <c r="E167" s="56" t="s">
        <v>414</v>
      </c>
      <c r="F167" s="56" t="s">
        <v>415</v>
      </c>
      <c r="G167" s="56" t="s">
        <v>55</v>
      </c>
      <c r="H167" s="56">
        <v>127</v>
      </c>
      <c r="I167" s="56">
        <v>3572</v>
      </c>
      <c r="J167" s="65">
        <v>6.7847769028871392</v>
      </c>
    </row>
    <row r="168" spans="1:10">
      <c r="A168" s="56" t="s">
        <v>407</v>
      </c>
      <c r="B168" s="56" t="s">
        <v>408</v>
      </c>
      <c r="C168" s="56" t="s">
        <v>409</v>
      </c>
      <c r="D168" s="56" t="s">
        <v>514</v>
      </c>
      <c r="E168" s="56" t="s">
        <v>416</v>
      </c>
      <c r="F168" s="56" t="s">
        <v>417</v>
      </c>
      <c r="G168" s="56" t="s">
        <v>48</v>
      </c>
      <c r="H168" s="56">
        <v>119</v>
      </c>
      <c r="I168" s="56">
        <v>3724</v>
      </c>
      <c r="J168" s="65">
        <v>6.757703081232493</v>
      </c>
    </row>
    <row r="169" spans="1:10">
      <c r="A169" s="56" t="s">
        <v>407</v>
      </c>
      <c r="B169" s="56" t="s">
        <v>408</v>
      </c>
      <c r="C169" s="56" t="s">
        <v>409</v>
      </c>
      <c r="D169" s="56" t="s">
        <v>514</v>
      </c>
      <c r="E169" s="56" t="s">
        <v>418</v>
      </c>
      <c r="F169" s="56" t="s">
        <v>419</v>
      </c>
      <c r="G169" s="56" t="s">
        <v>55</v>
      </c>
      <c r="H169" s="56">
        <v>190</v>
      </c>
      <c r="I169" s="56">
        <v>2529</v>
      </c>
      <c r="J169" s="65">
        <v>6.4868421052631575</v>
      </c>
    </row>
    <row r="170" spans="1:10">
      <c r="A170" s="56" t="s">
        <v>407</v>
      </c>
      <c r="B170" s="56" t="s">
        <v>408</v>
      </c>
      <c r="C170" s="56" t="s">
        <v>409</v>
      </c>
      <c r="D170" s="56" t="s">
        <v>514</v>
      </c>
      <c r="E170" s="56" t="s">
        <v>420</v>
      </c>
      <c r="F170" s="56" t="s">
        <v>421</v>
      </c>
      <c r="G170" s="56" t="s">
        <v>48</v>
      </c>
      <c r="H170" s="56">
        <v>809</v>
      </c>
      <c r="I170" s="56">
        <v>17279</v>
      </c>
      <c r="J170" s="65">
        <v>6.0805521219612695</v>
      </c>
    </row>
    <row r="171" spans="1:10">
      <c r="A171" s="56" t="s">
        <v>407</v>
      </c>
      <c r="B171" s="56" t="s">
        <v>408</v>
      </c>
      <c r="C171" s="56" t="s">
        <v>409</v>
      </c>
      <c r="D171" s="56" t="s">
        <v>514</v>
      </c>
      <c r="E171" s="56" t="s">
        <v>422</v>
      </c>
      <c r="F171" s="56" t="s">
        <v>423</v>
      </c>
      <c r="G171" s="56" t="s">
        <v>48</v>
      </c>
      <c r="H171" s="56">
        <v>613</v>
      </c>
      <c r="I171" s="56">
        <v>4700</v>
      </c>
      <c r="J171" s="65">
        <v>6.3607939097335509</v>
      </c>
    </row>
    <row r="172" spans="1:10">
      <c r="A172" s="56" t="s">
        <v>407</v>
      </c>
      <c r="B172" s="56" t="s">
        <v>408</v>
      </c>
      <c r="C172" s="56" t="s">
        <v>424</v>
      </c>
      <c r="D172" s="56" t="s">
        <v>515</v>
      </c>
      <c r="E172" s="56" t="s">
        <v>425</v>
      </c>
      <c r="F172" s="56" t="s">
        <v>426</v>
      </c>
      <c r="G172" s="56" t="s">
        <v>48</v>
      </c>
      <c r="H172" s="56">
        <v>1080</v>
      </c>
      <c r="I172" s="56">
        <v>7667</v>
      </c>
      <c r="J172" s="65">
        <v>6.091049382716049</v>
      </c>
    </row>
    <row r="173" spans="1:10">
      <c r="A173" s="56" t="s">
        <v>407</v>
      </c>
      <c r="B173" s="56" t="s">
        <v>408</v>
      </c>
      <c r="C173" s="56" t="s">
        <v>424</v>
      </c>
      <c r="D173" s="56" t="s">
        <v>515</v>
      </c>
      <c r="E173" s="56" t="s">
        <v>427</v>
      </c>
      <c r="F173" s="56" t="s">
        <v>428</v>
      </c>
      <c r="G173" s="56" t="s">
        <v>55</v>
      </c>
      <c r="H173" s="56">
        <v>341</v>
      </c>
      <c r="I173" s="56">
        <v>7475</v>
      </c>
      <c r="J173" s="65">
        <v>6.6593352883675472</v>
      </c>
    </row>
    <row r="174" spans="1:10">
      <c r="A174" s="56" t="s">
        <v>407</v>
      </c>
      <c r="B174" s="56" t="s">
        <v>408</v>
      </c>
      <c r="C174" s="56" t="s">
        <v>424</v>
      </c>
      <c r="D174" s="56" t="s">
        <v>515</v>
      </c>
      <c r="E174" s="56" t="s">
        <v>429</v>
      </c>
      <c r="F174" s="56" t="s">
        <v>430</v>
      </c>
      <c r="G174" s="56" t="s">
        <v>48</v>
      </c>
      <c r="H174" s="56">
        <v>85</v>
      </c>
      <c r="I174" s="56">
        <v>4937</v>
      </c>
      <c r="J174" s="65">
        <v>6.4411764705882355</v>
      </c>
    </row>
    <row r="175" spans="1:10">
      <c r="A175" s="56" t="s">
        <v>407</v>
      </c>
      <c r="B175" s="56" t="s">
        <v>408</v>
      </c>
      <c r="C175" s="56" t="s">
        <v>424</v>
      </c>
      <c r="D175" s="56" t="s">
        <v>515</v>
      </c>
      <c r="E175" s="56" t="s">
        <v>431</v>
      </c>
      <c r="F175" s="56" t="s">
        <v>432</v>
      </c>
      <c r="G175" s="56" t="s">
        <v>48</v>
      </c>
      <c r="H175" s="56">
        <v>16</v>
      </c>
      <c r="I175" s="56">
        <v>6701</v>
      </c>
      <c r="J175" s="65">
        <v>6.40625</v>
      </c>
    </row>
    <row r="176" spans="1:10">
      <c r="A176" s="56" t="s">
        <v>407</v>
      </c>
      <c r="B176" s="56" t="s">
        <v>408</v>
      </c>
      <c r="C176" s="56" t="s">
        <v>424</v>
      </c>
      <c r="D176" s="56" t="s">
        <v>515</v>
      </c>
      <c r="E176" s="56" t="s">
        <v>433</v>
      </c>
      <c r="F176" s="56" t="s">
        <v>434</v>
      </c>
      <c r="G176" s="56" t="s">
        <v>178</v>
      </c>
      <c r="H176" s="56">
        <v>225</v>
      </c>
      <c r="I176" s="56">
        <v>2941</v>
      </c>
      <c r="J176" s="65">
        <v>4.7777777777777777</v>
      </c>
    </row>
    <row r="177" spans="1:10">
      <c r="A177" s="56" t="s">
        <v>407</v>
      </c>
      <c r="B177" s="56" t="s">
        <v>408</v>
      </c>
      <c r="C177" s="56" t="s">
        <v>424</v>
      </c>
      <c r="D177" s="56" t="s">
        <v>515</v>
      </c>
      <c r="E177" s="56" t="s">
        <v>435</v>
      </c>
      <c r="F177" s="56" t="s">
        <v>436</v>
      </c>
      <c r="G177" s="56" t="s">
        <v>48</v>
      </c>
      <c r="H177" s="56">
        <v>193</v>
      </c>
      <c r="I177" s="56">
        <v>5503</v>
      </c>
      <c r="J177" s="65">
        <v>6.2392055267702942</v>
      </c>
    </row>
    <row r="178" spans="1:10">
      <c r="A178" s="56" t="s">
        <v>407</v>
      </c>
      <c r="B178" s="56" t="s">
        <v>408</v>
      </c>
      <c r="C178" s="56" t="s">
        <v>424</v>
      </c>
      <c r="D178" s="56" t="s">
        <v>515</v>
      </c>
      <c r="E178" s="56" t="s">
        <v>437</v>
      </c>
      <c r="F178" s="56" t="s">
        <v>438</v>
      </c>
      <c r="G178" s="56" t="s">
        <v>48</v>
      </c>
      <c r="H178" s="56">
        <v>3844</v>
      </c>
      <c r="I178" s="56">
        <v>8414</v>
      </c>
      <c r="J178" s="65">
        <v>6.661680541103018</v>
      </c>
    </row>
    <row r="179" spans="1:10">
      <c r="A179" s="56" t="s">
        <v>407</v>
      </c>
      <c r="B179" s="56" t="s">
        <v>408</v>
      </c>
      <c r="C179" s="56" t="s">
        <v>424</v>
      </c>
      <c r="D179" s="56" t="s">
        <v>515</v>
      </c>
      <c r="E179" s="56" t="s">
        <v>439</v>
      </c>
      <c r="F179" s="56" t="s">
        <v>440</v>
      </c>
      <c r="G179" s="56" t="s">
        <v>48</v>
      </c>
      <c r="H179" s="56">
        <v>10</v>
      </c>
      <c r="I179" s="56">
        <v>9570</v>
      </c>
      <c r="J179" s="65">
        <v>6.833333333333333</v>
      </c>
    </row>
    <row r="180" spans="1:10">
      <c r="A180" s="56" t="s">
        <v>407</v>
      </c>
      <c r="B180" s="56" t="s">
        <v>408</v>
      </c>
      <c r="C180" s="56" t="s">
        <v>424</v>
      </c>
      <c r="D180" s="56" t="s">
        <v>515</v>
      </c>
      <c r="E180" s="56" t="s">
        <v>441</v>
      </c>
      <c r="F180" s="56" t="s">
        <v>442</v>
      </c>
      <c r="G180" s="56" t="s">
        <v>48</v>
      </c>
      <c r="H180" s="56">
        <v>430</v>
      </c>
      <c r="I180" s="56">
        <v>8896</v>
      </c>
      <c r="J180" s="65">
        <v>6.1492248062015502</v>
      </c>
    </row>
    <row r="181" spans="1:10">
      <c r="A181" s="56" t="s">
        <v>407</v>
      </c>
      <c r="B181" s="56" t="s">
        <v>408</v>
      </c>
      <c r="C181" s="56" t="s">
        <v>424</v>
      </c>
      <c r="D181" s="56" t="s">
        <v>515</v>
      </c>
      <c r="E181" s="56" t="s">
        <v>443</v>
      </c>
      <c r="F181" s="56" t="s">
        <v>444</v>
      </c>
      <c r="G181" s="56" t="s">
        <v>55</v>
      </c>
      <c r="H181" s="56">
        <v>2079</v>
      </c>
      <c r="I181" s="56">
        <v>7604</v>
      </c>
      <c r="J181" s="65">
        <v>6.774490941157608</v>
      </c>
    </row>
    <row r="182" spans="1:10">
      <c r="A182" s="56" t="s">
        <v>407</v>
      </c>
      <c r="B182" s="56" t="s">
        <v>408</v>
      </c>
      <c r="C182" s="56" t="s">
        <v>424</v>
      </c>
      <c r="D182" s="56" t="s">
        <v>515</v>
      </c>
      <c r="E182" s="56" t="s">
        <v>445</v>
      </c>
      <c r="F182" s="56" t="s">
        <v>446</v>
      </c>
      <c r="G182" s="56" t="s">
        <v>48</v>
      </c>
      <c r="H182" s="56">
        <v>535</v>
      </c>
      <c r="I182" s="56">
        <v>16274</v>
      </c>
      <c r="J182" s="65">
        <v>6.0171339563862922</v>
      </c>
    </row>
    <row r="183" spans="1:10">
      <c r="A183" s="56" t="s">
        <v>407</v>
      </c>
      <c r="B183" s="56" t="s">
        <v>408</v>
      </c>
      <c r="C183" s="56" t="s">
        <v>447</v>
      </c>
      <c r="D183" s="56" t="s">
        <v>516</v>
      </c>
      <c r="E183" s="56" t="s">
        <v>448</v>
      </c>
      <c r="F183" s="56" t="s">
        <v>449</v>
      </c>
      <c r="G183" s="56" t="s">
        <v>48</v>
      </c>
      <c r="H183" s="56">
        <v>1225</v>
      </c>
      <c r="I183" s="56">
        <v>4729</v>
      </c>
      <c r="J183" s="65">
        <v>6.7741496598639461</v>
      </c>
    </row>
    <row r="184" spans="1:10">
      <c r="A184" s="56" t="s">
        <v>407</v>
      </c>
      <c r="B184" s="56" t="s">
        <v>408</v>
      </c>
      <c r="C184" s="56" t="s">
        <v>447</v>
      </c>
      <c r="D184" s="56" t="s">
        <v>516</v>
      </c>
      <c r="E184" s="56" t="s">
        <v>450</v>
      </c>
      <c r="F184" s="56" t="s">
        <v>451</v>
      </c>
      <c r="G184" s="56" t="s">
        <v>48</v>
      </c>
      <c r="H184" s="56">
        <v>1500</v>
      </c>
      <c r="I184" s="56">
        <v>8825</v>
      </c>
      <c r="J184" s="65">
        <v>6.335</v>
      </c>
    </row>
    <row r="185" spans="1:10">
      <c r="A185" s="56" t="s">
        <v>407</v>
      </c>
      <c r="B185" s="56" t="s">
        <v>408</v>
      </c>
      <c r="C185" s="56" t="s">
        <v>447</v>
      </c>
      <c r="D185" s="56" t="s">
        <v>516</v>
      </c>
      <c r="E185" s="56" t="s">
        <v>452</v>
      </c>
      <c r="F185" s="56" t="s">
        <v>453</v>
      </c>
      <c r="G185" s="56" t="s">
        <v>55</v>
      </c>
      <c r="H185" s="56">
        <v>593</v>
      </c>
      <c r="I185" s="56">
        <v>3062</v>
      </c>
      <c r="J185" s="65">
        <v>7.0489038785834737</v>
      </c>
    </row>
    <row r="186" spans="1:10">
      <c r="A186" s="56" t="s">
        <v>407</v>
      </c>
      <c r="B186" s="56" t="s">
        <v>408</v>
      </c>
      <c r="C186" s="56" t="s">
        <v>447</v>
      </c>
      <c r="D186" s="56" t="s">
        <v>516</v>
      </c>
      <c r="E186" s="56" t="s">
        <v>454</v>
      </c>
      <c r="F186" s="56" t="s">
        <v>455</v>
      </c>
      <c r="G186" s="56" t="s">
        <v>48</v>
      </c>
      <c r="H186" s="56">
        <v>318</v>
      </c>
      <c r="I186" s="56">
        <v>6514</v>
      </c>
      <c r="J186" s="65">
        <v>5.4061844863731663</v>
      </c>
    </row>
    <row r="187" spans="1:10">
      <c r="A187" s="56" t="s">
        <v>407</v>
      </c>
      <c r="B187" s="56" t="s">
        <v>408</v>
      </c>
      <c r="C187" s="56" t="s">
        <v>447</v>
      </c>
      <c r="D187" s="56" t="s">
        <v>516</v>
      </c>
      <c r="E187" s="56" t="s">
        <v>456</v>
      </c>
      <c r="F187" s="56" t="s">
        <v>457</v>
      </c>
      <c r="G187" s="56" t="s">
        <v>48</v>
      </c>
      <c r="H187" s="56">
        <v>155</v>
      </c>
      <c r="I187" s="56">
        <v>9445</v>
      </c>
      <c r="J187" s="65">
        <v>5.5053763440860219</v>
      </c>
    </row>
    <row r="188" spans="1:10">
      <c r="A188" s="56" t="s">
        <v>407</v>
      </c>
      <c r="B188" s="56" t="s">
        <v>408</v>
      </c>
      <c r="C188" s="56" t="s">
        <v>458</v>
      </c>
      <c r="D188" s="56" t="s">
        <v>517</v>
      </c>
      <c r="E188" s="56" t="s">
        <v>459</v>
      </c>
      <c r="F188" s="56" t="s">
        <v>460</v>
      </c>
      <c r="G188" s="56" t="s">
        <v>48</v>
      </c>
      <c r="H188" s="56">
        <v>163</v>
      </c>
      <c r="I188" s="56">
        <v>3486</v>
      </c>
      <c r="J188" s="65">
        <v>6.6002044989775044</v>
      </c>
    </row>
    <row r="189" spans="1:10">
      <c r="A189" s="56" t="s">
        <v>407</v>
      </c>
      <c r="B189" s="56" t="s">
        <v>408</v>
      </c>
      <c r="C189" s="56" t="s">
        <v>458</v>
      </c>
      <c r="D189" s="56" t="s">
        <v>517</v>
      </c>
      <c r="E189" s="56" t="s">
        <v>461</v>
      </c>
      <c r="F189" s="56" t="s">
        <v>462</v>
      </c>
      <c r="G189" s="56" t="s">
        <v>55</v>
      </c>
      <c r="H189" s="56">
        <v>401</v>
      </c>
      <c r="I189" s="56">
        <v>3247</v>
      </c>
      <c r="J189" s="65">
        <v>6.7622610141313375</v>
      </c>
    </row>
    <row r="190" spans="1:10">
      <c r="A190" s="56" t="s">
        <v>407</v>
      </c>
      <c r="B190" s="56" t="s">
        <v>408</v>
      </c>
      <c r="C190" s="56" t="s">
        <v>458</v>
      </c>
      <c r="D190" s="56" t="s">
        <v>517</v>
      </c>
      <c r="E190" s="56" t="s">
        <v>463</v>
      </c>
      <c r="F190" s="56" t="s">
        <v>464</v>
      </c>
      <c r="G190" s="56" t="s">
        <v>48</v>
      </c>
      <c r="H190" s="56">
        <v>164</v>
      </c>
      <c r="I190" s="56">
        <v>6226</v>
      </c>
      <c r="J190" s="65">
        <v>6.4430894308943092</v>
      </c>
    </row>
    <row r="191" spans="1:10">
      <c r="A191" s="56" t="s">
        <v>407</v>
      </c>
      <c r="B191" s="56" t="s">
        <v>408</v>
      </c>
      <c r="C191" s="56" t="s">
        <v>458</v>
      </c>
      <c r="D191" s="56" t="s">
        <v>517</v>
      </c>
      <c r="E191" s="56" t="s">
        <v>465</v>
      </c>
      <c r="F191" s="56" t="s">
        <v>466</v>
      </c>
      <c r="G191" s="56" t="s">
        <v>48</v>
      </c>
      <c r="H191" s="56">
        <v>236</v>
      </c>
      <c r="I191" s="56">
        <v>6344</v>
      </c>
      <c r="J191" s="65">
        <v>6.2394067796610173</v>
      </c>
    </row>
    <row r="192" spans="1:10">
      <c r="A192" s="56" t="s">
        <v>407</v>
      </c>
      <c r="B192" s="56" t="s">
        <v>408</v>
      </c>
      <c r="C192" s="56" t="s">
        <v>458</v>
      </c>
      <c r="D192" s="56" t="s">
        <v>517</v>
      </c>
      <c r="E192" s="56" t="s">
        <v>467</v>
      </c>
      <c r="F192" s="56" t="s">
        <v>468</v>
      </c>
      <c r="G192" s="56" t="s">
        <v>55</v>
      </c>
      <c r="H192" s="56">
        <v>132</v>
      </c>
      <c r="I192" s="56">
        <v>3088</v>
      </c>
      <c r="J192" s="65">
        <v>7.1212121212121211</v>
      </c>
    </row>
    <row r="193" spans="1:10">
      <c r="A193" s="56" t="s">
        <v>407</v>
      </c>
      <c r="B193" s="56" t="s">
        <v>408</v>
      </c>
      <c r="C193" s="56" t="s">
        <v>458</v>
      </c>
      <c r="D193" s="56" t="s">
        <v>517</v>
      </c>
      <c r="E193" s="56" t="s">
        <v>469</v>
      </c>
      <c r="F193" s="56" t="s">
        <v>470</v>
      </c>
      <c r="G193" s="56" t="s">
        <v>88</v>
      </c>
      <c r="H193" s="56">
        <v>941</v>
      </c>
      <c r="I193" s="56">
        <v>3146</v>
      </c>
      <c r="J193" s="65">
        <v>6.6374424371236271</v>
      </c>
    </row>
    <row r="194" spans="1:10">
      <c r="A194" s="56" t="s">
        <v>407</v>
      </c>
      <c r="B194" s="56" t="s">
        <v>408</v>
      </c>
      <c r="C194" s="56" t="s">
        <v>458</v>
      </c>
      <c r="D194" s="56" t="s">
        <v>517</v>
      </c>
      <c r="E194" s="56" t="s">
        <v>471</v>
      </c>
      <c r="F194" s="56" t="s">
        <v>472</v>
      </c>
      <c r="G194" s="56" t="s">
        <v>48</v>
      </c>
      <c r="H194" s="56">
        <v>1868</v>
      </c>
      <c r="I194" s="56">
        <v>8839</v>
      </c>
      <c r="J194" s="65">
        <v>6.3365453247680223</v>
      </c>
    </row>
    <row r="195" spans="1:10">
      <c r="A195" s="56" t="s">
        <v>407</v>
      </c>
      <c r="B195" s="56" t="s">
        <v>408</v>
      </c>
      <c r="C195" s="56" t="s">
        <v>458</v>
      </c>
      <c r="D195" s="56" t="s">
        <v>517</v>
      </c>
      <c r="E195" s="56" t="s">
        <v>473</v>
      </c>
      <c r="F195" s="56" t="s">
        <v>474</v>
      </c>
      <c r="G195" s="56" t="s">
        <v>55</v>
      </c>
      <c r="H195" s="56">
        <v>169</v>
      </c>
      <c r="I195" s="56">
        <v>4520</v>
      </c>
      <c r="J195" s="65">
        <v>7.4654832347140045</v>
      </c>
    </row>
    <row r="196" spans="1:10">
      <c r="A196" s="57" t="s">
        <v>407</v>
      </c>
      <c r="B196" s="57" t="s">
        <v>408</v>
      </c>
      <c r="C196" s="57" t="s">
        <v>458</v>
      </c>
      <c r="D196" s="57" t="s">
        <v>517</v>
      </c>
      <c r="E196" s="57" t="s">
        <v>475</v>
      </c>
      <c r="F196" s="57" t="s">
        <v>476</v>
      </c>
      <c r="G196" s="57" t="s">
        <v>178</v>
      </c>
      <c r="H196" s="57">
        <v>395</v>
      </c>
      <c r="I196" s="57">
        <v>5792</v>
      </c>
      <c r="J196" s="66">
        <v>5.3164556962025316</v>
      </c>
    </row>
  </sheetData>
  <mergeCells count="10">
    <mergeCell ref="A7:A8"/>
    <mergeCell ref="B7:B8"/>
    <mergeCell ref="C7:C8"/>
    <mergeCell ref="D7:D8"/>
    <mergeCell ref="E7:E8"/>
    <mergeCell ref="G7:G8"/>
    <mergeCell ref="H7:H8"/>
    <mergeCell ref="I7:I8"/>
    <mergeCell ref="J7:J8"/>
    <mergeCell ref="F7:F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Engagement">
              <controlPr defaultSize="0" autoFill="0" autoPict="0" macro="[0]!Engagement">
                <anchor>
                  <from>
                    <xdr:col>4</xdr:col>
                    <xdr:colOff>326445</xdr:colOff>
                    <xdr:row>1</xdr:row>
                    <xdr:rowOff>110374</xdr:rowOff>
                  </from>
                  <to>
                    <xdr:col>5</xdr:col>
                    <xdr:colOff>947720</xdr:colOff>
                    <xdr:row>2</xdr:row>
                    <xdr:rowOff>193678</xdr:rowOff>
                  </to>
                </anchor>
              </controlPr>
            </control>
          </mc:Choice>
        </mc:AlternateContent>
        <mc:AlternateContent xmlns:mc="http://schemas.openxmlformats.org/markup-compatibility/2006">
          <mc:Choice Requires="x14">
            <control shapeId="6146" r:id="rId5" name="Advocacy">
              <controlPr defaultSize="0" autoFill="0" autoPict="0" macro="[0]!Advocacy">
                <anchor>
                  <from>
                    <xdr:col>5</xdr:col>
                    <xdr:colOff>1080810</xdr:colOff>
                    <xdr:row>1</xdr:row>
                    <xdr:rowOff>110374</xdr:rowOff>
                  </from>
                  <to>
                    <xdr:col>5</xdr:col>
                    <xdr:colOff>2340260</xdr:colOff>
                    <xdr:row>2</xdr:row>
                    <xdr:rowOff>193678</xdr:rowOff>
                  </to>
                </anchor>
              </controlPr>
            </control>
          </mc:Choice>
        </mc:AlternateContent>
        <mc:AlternateContent xmlns:mc="http://schemas.openxmlformats.org/markup-compatibility/2006">
          <mc:Choice Requires="x14">
            <control shapeId="6147" r:id="rId6" name="Notes">
              <controlPr defaultSize="0" autoFill="0" autoPict="0" macro="[0]!Notes">
                <anchor>
                  <from>
                    <xdr:col>1</xdr:col>
                    <xdr:colOff>323372</xdr:colOff>
                    <xdr:row>1</xdr:row>
                    <xdr:rowOff>110374</xdr:rowOff>
                  </from>
                  <to>
                    <xdr:col>1</xdr:col>
                    <xdr:colOff>1582822</xdr:colOff>
                    <xdr:row>2</xdr:row>
                    <xdr:rowOff>193678</xdr:rowOff>
                  </to>
                </anchor>
              </controlPr>
            </control>
          </mc:Choice>
        </mc:AlternateContent>
        <mc:AlternateContent xmlns:mc="http://schemas.openxmlformats.org/markup-compatibility/2006">
          <mc:Choice Requires="x14">
            <control shapeId="6148" r:id="rId7" name="Summary">
              <controlPr defaultSize="0" autoFill="0" autoPict="0" macro="[0]!Summary">
                <anchor moveWithCells="1" sizeWithCells="1">
                  <from>
                    <xdr:col>1</xdr:col>
                    <xdr:colOff>1757892</xdr:colOff>
                    <xdr:row>1</xdr:row>
                    <xdr:rowOff>110374</xdr:rowOff>
                  </from>
                  <to>
                    <xdr:col>1</xdr:col>
                    <xdr:colOff>3017342</xdr:colOff>
                    <xdr:row>2</xdr:row>
                    <xdr:rowOff>193678</xdr:rowOff>
                  </to>
                </anchor>
              </controlPr>
            </control>
          </mc:Choice>
        </mc:AlternateContent>
        <mc:AlternateContent xmlns:mc="http://schemas.openxmlformats.org/markup-compatibility/2006">
          <mc:Choice Requires="x14">
            <control shapeId="6149" r:id="rId8" name="Involvement">
              <controlPr defaultSize="0" autoFill="0" autoPict="0" macro="[0]!Involvement">
                <anchor>
                  <from>
                    <xdr:col>5</xdr:col>
                    <xdr:colOff>2473351</xdr:colOff>
                    <xdr:row>1</xdr:row>
                    <xdr:rowOff>110374</xdr:rowOff>
                  </from>
                  <to>
                    <xdr:col>5</xdr:col>
                    <xdr:colOff>3732801</xdr:colOff>
                    <xdr:row>2</xdr:row>
                    <xdr:rowOff>193678</xdr:rowOff>
                  </to>
                </anchor>
              </controlPr>
            </control>
          </mc:Choice>
        </mc:AlternateContent>
        <mc:AlternateContent xmlns:mc="http://schemas.openxmlformats.org/markup-compatibility/2006">
          <mc:Choice Requires="x14">
            <control shapeId="6150" r:id="rId9" name="Motivation">
              <controlPr defaultSize="0" autoFill="0" autoPict="0" macro="[0]!Motivation">
                <anchor>
                  <from>
                    <xdr:col>5</xdr:col>
                    <xdr:colOff>3865892</xdr:colOff>
                    <xdr:row>1</xdr:row>
                    <xdr:rowOff>118630</xdr:rowOff>
                  </from>
                  <to>
                    <xdr:col>5</xdr:col>
                    <xdr:colOff>5125342</xdr:colOff>
                    <xdr:row>3</xdr:row>
                    <xdr:rowOff>1909</xdr:rowOff>
                  </to>
                </anchor>
              </controlPr>
            </control>
          </mc:Choice>
        </mc:AlternateContent>
        <mc:AlternateContent xmlns:mc="http://schemas.openxmlformats.org/markup-compatibility/2006">
          <mc:Choice Requires="x14">
            <control shapeId="6151" r:id="rId10" name="Breakdown">
              <controlPr defaultSize="0" autoFill="0" autoPict="0" macro="[0]!Breakdown">
                <anchor>
                  <from>
                    <xdr:col>3</xdr:col>
                    <xdr:colOff>1808565</xdr:colOff>
                    <xdr:row>1</xdr:row>
                    <xdr:rowOff>110374</xdr:rowOff>
                  </from>
                  <to>
                    <xdr:col>3</xdr:col>
                    <xdr:colOff>3068015</xdr:colOff>
                    <xdr:row>2</xdr:row>
                    <xdr:rowOff>193678</xdr:rowOff>
                  </to>
                </anchor>
              </controlPr>
            </control>
          </mc:Choice>
        </mc:AlternateContent>
        <mc:AlternateContent xmlns:mc="http://schemas.openxmlformats.org/markup-compatibility/2006">
          <mc:Choice Requires="x14">
            <control shapeId="6152" r:id="rId11" name="Scores">
              <controlPr defaultSize="0" autoFill="0" autoPict="0" macro="[1]!MacrosForWebfileForMalwina.Scores">
                <anchor>
                  <from>
                    <xdr:col>3</xdr:col>
                    <xdr:colOff>3201105</xdr:colOff>
                    <xdr:row>1</xdr:row>
                    <xdr:rowOff>110374</xdr:rowOff>
                  </from>
                  <to>
                    <xdr:col>4</xdr:col>
                    <xdr:colOff>193355</xdr:colOff>
                    <xdr:row>2</xdr:row>
                    <xdr:rowOff>193678</xdr:rowOff>
                  </to>
                </anchor>
              </controlPr>
            </control>
          </mc:Choice>
        </mc:AlternateContent>
        <mc:AlternateContent xmlns:mc="http://schemas.openxmlformats.org/markup-compatibility/2006">
          <mc:Choice Requires="x14">
            <control shapeId="6153" r:id="rId12" name="Region code">
              <controlPr defaultSize="0" autoLine="0" autoPict="0" macro="[0]!FilterListsRegionCode">
                <anchor>
                  <from>
                    <xdr:col>3</xdr:col>
                    <xdr:colOff>2955400</xdr:colOff>
                    <xdr:row>4</xdr:row>
                    <xdr:rowOff>114378</xdr:rowOff>
                  </from>
                  <to>
                    <xdr:col>3</xdr:col>
                    <xdr:colOff>3604672</xdr:colOff>
                    <xdr:row>4</xdr:row>
                    <xdr:rowOff>342931</xdr:rowOff>
                  </to>
                </anchor>
              </controlPr>
            </control>
          </mc:Choice>
        </mc:AlternateContent>
        <mc:AlternateContent xmlns:mc="http://schemas.openxmlformats.org/markup-compatibility/2006">
          <mc:Choice Requires="x14">
            <control shapeId="6154" r:id="rId13" name="Reset">
              <controlPr defaultSize="0" autoFill="0" autoPict="0" macro="[0]!Reset">
                <anchor>
                  <from>
                    <xdr:col>5</xdr:col>
                    <xdr:colOff>1875640</xdr:colOff>
                    <xdr:row>4</xdr:row>
                    <xdr:rowOff>114378</xdr:rowOff>
                  </from>
                  <to>
                    <xdr:col>5</xdr:col>
                    <xdr:colOff>2830452</xdr:colOff>
                    <xdr:row>4</xdr:row>
                    <xdr:rowOff>438161</xdr:rowOff>
                  </to>
                </anchor>
              </controlPr>
            </control>
          </mc:Choice>
        </mc:AlternateContent>
        <mc:AlternateContent xmlns:mc="http://schemas.openxmlformats.org/markup-compatibility/2006">
          <mc:Choice Requires="x14">
            <control shapeId="6155" r:id="rId14" name="Region name">
              <controlPr defaultSize="0" autoLine="0" autoPict="0" macro="[0]!FilterListsRegionName">
                <anchor>
                  <from>
                    <xdr:col>3</xdr:col>
                    <xdr:colOff>3652413</xdr:colOff>
                    <xdr:row>4</xdr:row>
                    <xdr:rowOff>114378</xdr:rowOff>
                  </from>
                  <to>
                    <xdr:col>5</xdr:col>
                    <xdr:colOff>1654972</xdr:colOff>
                    <xdr:row>4</xdr:row>
                    <xdr:rowOff>342931</xdr:rowOff>
                  </to>
                </anchor>
              </controlPr>
            </control>
          </mc:Choice>
        </mc:AlternateContent>
        <mc:AlternateContent xmlns:mc="http://schemas.openxmlformats.org/markup-compatibility/2006">
          <mc:Choice Requires="x14">
            <control shapeId="6156" r:id="rId15" name="STP Code">
              <controlPr defaultSize="0" autoLine="0" autoPict="0" macro="[0]!FilterListsSTPCode">
                <anchor>
                  <from>
                    <xdr:col>3</xdr:col>
                    <xdr:colOff>2955400</xdr:colOff>
                    <xdr:row>4</xdr:row>
                    <xdr:rowOff>390546</xdr:rowOff>
                  </from>
                  <to>
                    <xdr:col>3</xdr:col>
                    <xdr:colOff>3604672</xdr:colOff>
                    <xdr:row>4</xdr:row>
                    <xdr:rowOff>619099</xdr:rowOff>
                  </to>
                </anchor>
              </controlPr>
            </control>
          </mc:Choice>
        </mc:AlternateContent>
        <mc:AlternateContent xmlns:mc="http://schemas.openxmlformats.org/markup-compatibility/2006">
          <mc:Choice Requires="x14">
            <control shapeId="6157" r:id="rId16" name="STP Name">
              <controlPr defaultSize="0" autoLine="0" autoPict="0" macro="[0]!FilterListsSTPName">
                <anchor>
                  <from>
                    <xdr:col>3</xdr:col>
                    <xdr:colOff>3652413</xdr:colOff>
                    <xdr:row>4</xdr:row>
                    <xdr:rowOff>390546</xdr:rowOff>
                  </from>
                  <to>
                    <xdr:col>5</xdr:col>
                    <xdr:colOff>1654972</xdr:colOff>
                    <xdr:row>4</xdr:row>
                    <xdr:rowOff>619099</xdr:rowOff>
                  </to>
                </anchor>
              </controlPr>
            </control>
          </mc:Choice>
        </mc:AlternateContent>
        <mc:AlternateContent xmlns:mc="http://schemas.openxmlformats.org/markup-compatibility/2006">
          <mc:Choice Requires="x14">
            <control shapeId="6158" r:id="rId17" name="Org Code">
              <controlPr defaultSize="0" autoLine="0" autoPict="0" macro="[0]!FilterListsOrgCode">
                <anchor>
                  <from>
                    <xdr:col>3</xdr:col>
                    <xdr:colOff>2955400</xdr:colOff>
                    <xdr:row>4</xdr:row>
                    <xdr:rowOff>677295</xdr:rowOff>
                  </from>
                  <to>
                    <xdr:col>3</xdr:col>
                    <xdr:colOff>3604672</xdr:colOff>
                    <xdr:row>4</xdr:row>
                    <xdr:rowOff>905848</xdr:rowOff>
                  </to>
                </anchor>
              </controlPr>
            </control>
          </mc:Choice>
        </mc:AlternateContent>
        <mc:AlternateContent xmlns:mc="http://schemas.openxmlformats.org/markup-compatibility/2006">
          <mc:Choice Requires="x14">
            <control shapeId="6159" r:id="rId18" name="Org Name">
              <controlPr defaultSize="0" autoLine="0" autoPict="0" macro="[0]!FilterListsOrgName">
                <anchor>
                  <from>
                    <xdr:col>3</xdr:col>
                    <xdr:colOff>3652413</xdr:colOff>
                    <xdr:row>4</xdr:row>
                    <xdr:rowOff>677295</xdr:rowOff>
                  </from>
                  <to>
                    <xdr:col>5</xdr:col>
                    <xdr:colOff>1654972</xdr:colOff>
                    <xdr:row>4</xdr:row>
                    <xdr:rowOff>905848</xdr:rowOff>
                  </to>
                </anchor>
              </controlPr>
            </control>
          </mc:Choice>
        </mc:AlternateContent>
        <mc:AlternateContent xmlns:mc="http://schemas.openxmlformats.org/markup-compatibility/2006">
          <mc:Choice Requires="x14">
            <control shapeId="6160" r:id="rId19" name="Setting">
              <controlPr defaultSize="0" autoLine="0" autoPict="0" macro="[0]!FilterCareSetting">
                <anchor>
                  <from>
                    <xdr:col>3</xdr:col>
                    <xdr:colOff>2955400</xdr:colOff>
                    <xdr:row>4</xdr:row>
                    <xdr:rowOff>965102</xdr:rowOff>
                  </from>
                  <to>
                    <xdr:col>5</xdr:col>
                    <xdr:colOff>121967</xdr:colOff>
                    <xdr:row>4</xdr:row>
                    <xdr:rowOff>1203178</xdr:rowOff>
                  </to>
                </anchor>
              </controlPr>
            </control>
          </mc:Choice>
        </mc:AlternateContent>
        <mc:AlternateContent xmlns:mc="http://schemas.openxmlformats.org/markup-compatibility/2006">
          <mc:Choice Requires="x14">
            <control shapeId="6161" r:id="rId20" name="Drop Down Sort">
              <controlPr defaultSize="0" autoLine="0" autoPict="0">
                <anchor>
                  <from>
                    <xdr:col>1</xdr:col>
                    <xdr:colOff>1135142</xdr:colOff>
                    <xdr:row>4</xdr:row>
                    <xdr:rowOff>135542</xdr:rowOff>
                  </from>
                  <to>
                    <xdr:col>1</xdr:col>
                    <xdr:colOff>3082959</xdr:colOff>
                    <xdr:row>4</xdr:row>
                    <xdr:rowOff>383141</xdr:rowOff>
                  </to>
                </anchor>
              </controlPr>
            </control>
          </mc:Choice>
        </mc:AlternateContent>
        <mc:AlternateContent xmlns:mc="http://schemas.openxmlformats.org/markup-compatibility/2006">
          <mc:Choice Requires="x14">
            <control shapeId="6162" r:id="rId21" name="sort">
              <controlPr defaultSize="0" autoFill="0" autoPict="0" macro="[0]!_xludf.Sort">
                <anchor>
                  <from>
                    <xdr:col>1</xdr:col>
                    <xdr:colOff>3336513</xdr:colOff>
                    <xdr:row>4</xdr:row>
                    <xdr:rowOff>114377</xdr:rowOff>
                  </from>
                  <to>
                    <xdr:col>3</xdr:col>
                    <xdr:colOff>16699</xdr:colOff>
                    <xdr:row>4</xdr:row>
                    <xdr:rowOff>438160</xdr:rowOff>
                  </to>
                </anchor>
              </controlPr>
            </control>
          </mc:Choice>
        </mc:AlternateContent>
        <mc:AlternateContent xmlns:mc="http://schemas.openxmlformats.org/markup-compatibility/2006">
          <mc:Choice Requires="x14">
            <control shapeId="6163" r:id="rId22" name="Low">
              <controlPr defaultSize="0" autoFill="0" autoLine="0" autoPict="0">
                <anchor>
                  <from>
                    <xdr:col>1</xdr:col>
                    <xdr:colOff>915535</xdr:colOff>
                    <xdr:row>4</xdr:row>
                    <xdr:rowOff>449802</xdr:rowOff>
                  </from>
                  <to>
                    <xdr:col>1</xdr:col>
                    <xdr:colOff>2013569</xdr:colOff>
                    <xdr:row>4</xdr:row>
                    <xdr:rowOff>773585</xdr:rowOff>
                  </to>
                </anchor>
              </controlPr>
            </control>
          </mc:Choice>
        </mc:AlternateContent>
        <mc:AlternateContent xmlns:mc="http://schemas.openxmlformats.org/markup-compatibility/2006">
          <mc:Choice Requires="x14">
            <control shapeId="6164" r:id="rId23" name="High">
              <controlPr defaultSize="0" autoFill="0" autoLine="0" autoPict="0">
                <anchor>
                  <from>
                    <xdr:col>1</xdr:col>
                    <xdr:colOff>2147243</xdr:colOff>
                    <xdr:row>4</xdr:row>
                    <xdr:rowOff>468848</xdr:rowOff>
                  </from>
                  <to>
                    <xdr:col>1</xdr:col>
                    <xdr:colOff>3111603</xdr:colOff>
                    <xdr:row>4</xdr:row>
                    <xdr:rowOff>764062</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CCDAF-A318-4136-9B8B-5518D2B5E54E}">
  <sheetPr codeName="Sheet27">
    <tabColor theme="3" tint="0.59999389629810485"/>
  </sheetPr>
  <dimension ref="A1:K196"/>
  <sheetViews>
    <sheetView workbookViewId="0">
      <selection activeCell="H10" sqref="A10:XFD10"/>
    </sheetView>
  </sheetViews>
  <sheetFormatPr defaultColWidth="9.140625" defaultRowHeight="14.45"/>
  <cols>
    <col min="1" max="1" width="9.5703125" style="12" customWidth="1"/>
    <col min="2" max="2" width="54.42578125" style="12" customWidth="1"/>
    <col min="3" max="3" width="9.5703125" style="12" customWidth="1"/>
    <col min="4" max="4" width="64" style="12" customWidth="1"/>
    <col min="5" max="5" width="9.5703125" style="12" customWidth="1"/>
    <col min="6" max="6" width="88.42578125" style="12" customWidth="1"/>
    <col min="7" max="7" width="81.85546875" style="12" bestFit="1" customWidth="1"/>
    <col min="8" max="8" width="13" style="12" customWidth="1"/>
    <col min="9" max="9" width="12.5703125" style="12" customWidth="1"/>
    <col min="10" max="10" width="18.42578125" style="73" customWidth="1"/>
    <col min="11" max="11" width="9.140625" style="12" customWidth="1"/>
    <col min="12" max="16384" width="9.140625" style="44"/>
  </cols>
  <sheetData>
    <row r="1" spans="1:11" ht="15" customHeight="1">
      <c r="A1" s="44"/>
      <c r="B1" s="44"/>
      <c r="C1" s="44"/>
      <c r="D1" s="44"/>
      <c r="E1" s="44"/>
      <c r="F1" s="44"/>
      <c r="G1" s="44"/>
      <c r="H1" s="44"/>
      <c r="I1" s="44"/>
      <c r="J1" s="74"/>
      <c r="K1" s="44"/>
    </row>
    <row r="2" spans="1:11" ht="30" customHeight="1">
      <c r="A2" s="44"/>
      <c r="B2" s="44"/>
      <c r="C2" s="44"/>
      <c r="D2" s="44"/>
      <c r="E2" s="44"/>
      <c r="F2" s="44"/>
      <c r="G2" s="44"/>
      <c r="H2" s="44"/>
      <c r="I2" s="44"/>
      <c r="J2" s="74"/>
      <c r="K2" s="44"/>
    </row>
    <row r="3" spans="1:11" ht="15.75" customHeight="1">
      <c r="A3" s="44"/>
      <c r="B3" s="44"/>
      <c r="C3" s="44"/>
      <c r="D3" s="44"/>
      <c r="E3" s="44"/>
      <c r="F3" s="44"/>
      <c r="G3" s="44"/>
      <c r="H3" s="44"/>
      <c r="I3" s="44"/>
      <c r="J3" s="74"/>
      <c r="K3" s="44"/>
    </row>
    <row r="4" spans="1:11" ht="15" customHeight="1">
      <c r="A4" s="44"/>
      <c r="B4" s="44"/>
      <c r="C4" s="44"/>
      <c r="D4" s="44"/>
      <c r="E4" s="44"/>
      <c r="F4" s="44"/>
      <c r="G4" s="44"/>
      <c r="H4" s="44"/>
      <c r="I4" s="44"/>
      <c r="J4" s="74"/>
      <c r="K4" s="44"/>
    </row>
    <row r="5" spans="1:11" ht="97.5" customHeight="1">
      <c r="A5" s="44"/>
      <c r="B5" s="44"/>
      <c r="C5" s="44"/>
      <c r="D5" s="44"/>
      <c r="E5" s="44"/>
      <c r="F5" s="44"/>
      <c r="G5" s="44"/>
      <c r="H5" s="44"/>
      <c r="I5" s="44"/>
      <c r="J5" s="74"/>
      <c r="K5" s="44"/>
    </row>
    <row r="6" spans="1:11" ht="9.75" customHeight="1">
      <c r="A6" s="44"/>
      <c r="B6" s="44"/>
      <c r="C6" s="44"/>
      <c r="D6" s="44"/>
      <c r="E6" s="44"/>
      <c r="F6" s="46"/>
      <c r="G6" s="46"/>
      <c r="H6" s="47"/>
      <c r="I6" s="44"/>
      <c r="J6" s="75"/>
      <c r="K6" s="44"/>
    </row>
    <row r="7" spans="1:11" s="49" customFormat="1" ht="15.75" customHeight="1">
      <c r="A7" s="110" t="s">
        <v>32</v>
      </c>
      <c r="B7" s="110" t="s">
        <v>33</v>
      </c>
      <c r="C7" s="110" t="s">
        <v>34</v>
      </c>
      <c r="D7" s="102" t="s">
        <v>35</v>
      </c>
      <c r="E7" s="110" t="s">
        <v>36</v>
      </c>
      <c r="F7" s="102" t="s">
        <v>37</v>
      </c>
      <c r="G7" s="102" t="s">
        <v>38</v>
      </c>
      <c r="H7" s="104" t="s">
        <v>39</v>
      </c>
      <c r="I7" s="106" t="s">
        <v>40</v>
      </c>
      <c r="J7" s="108" t="s">
        <v>520</v>
      </c>
    </row>
    <row r="8" spans="1:11" s="49" customFormat="1" ht="33" customHeight="1">
      <c r="A8" s="110"/>
      <c r="B8" s="110"/>
      <c r="C8" s="102"/>
      <c r="D8" s="103"/>
      <c r="E8" s="102"/>
      <c r="F8" s="103"/>
      <c r="G8" s="103"/>
      <c r="H8" s="105"/>
      <c r="I8" s="107"/>
      <c r="J8" s="111"/>
    </row>
    <row r="9" spans="1:11" s="54" customFormat="1" ht="13.5">
      <c r="A9" s="50"/>
      <c r="B9" s="51"/>
      <c r="C9" s="51"/>
      <c r="D9" s="51"/>
      <c r="E9" s="51"/>
      <c r="F9" s="59" t="s">
        <v>42</v>
      </c>
      <c r="G9" s="60"/>
      <c r="H9" s="58">
        <v>127539</v>
      </c>
      <c r="I9" s="58">
        <v>1180653</v>
      </c>
      <c r="J9" s="69">
        <v>6.7365733880094201</v>
      </c>
    </row>
    <row r="10" spans="1:11" ht="15" customHeight="1">
      <c r="A10" s="55" t="s">
        <v>43</v>
      </c>
      <c r="B10" s="55" t="s">
        <v>44</v>
      </c>
      <c r="C10" s="55" t="s">
        <v>45</v>
      </c>
      <c r="D10" s="55" t="s">
        <v>477</v>
      </c>
      <c r="E10" s="55" t="s">
        <v>46</v>
      </c>
      <c r="F10" s="55" t="s">
        <v>47</v>
      </c>
      <c r="G10" s="55" t="s">
        <v>48</v>
      </c>
      <c r="H10" s="55">
        <v>2705</v>
      </c>
      <c r="I10" s="55">
        <v>22169</v>
      </c>
      <c r="J10" s="64">
        <v>6.8062230437461491</v>
      </c>
    </row>
    <row r="11" spans="1:11" ht="15" customHeight="1">
      <c r="A11" s="56" t="s">
        <v>43</v>
      </c>
      <c r="B11" s="56" t="s">
        <v>44</v>
      </c>
      <c r="C11" s="56" t="s">
        <v>45</v>
      </c>
      <c r="D11" s="56" t="s">
        <v>477</v>
      </c>
      <c r="E11" s="56" t="s">
        <v>49</v>
      </c>
      <c r="F11" s="56" t="s">
        <v>50</v>
      </c>
      <c r="G11" s="56" t="s">
        <v>48</v>
      </c>
      <c r="H11" s="56">
        <v>1285</v>
      </c>
      <c r="I11" s="56">
        <v>13297</v>
      </c>
      <c r="J11" s="65">
        <v>6.4468223086900123</v>
      </c>
    </row>
    <row r="12" spans="1:11" ht="15" customHeight="1">
      <c r="A12" s="56" t="s">
        <v>43</v>
      </c>
      <c r="B12" s="56" t="s">
        <v>44</v>
      </c>
      <c r="C12" s="56" t="s">
        <v>45</v>
      </c>
      <c r="D12" s="56" t="s">
        <v>477</v>
      </c>
      <c r="E12" s="56" t="s">
        <v>51</v>
      </c>
      <c r="F12" s="56" t="s">
        <v>52</v>
      </c>
      <c r="G12" s="56" t="s">
        <v>48</v>
      </c>
      <c r="H12" s="56">
        <v>433</v>
      </c>
      <c r="I12" s="56">
        <v>6850</v>
      </c>
      <c r="J12" s="65">
        <v>6.2702078521939955</v>
      </c>
    </row>
    <row r="13" spans="1:11" ht="15" customHeight="1">
      <c r="A13" s="56" t="s">
        <v>43</v>
      </c>
      <c r="B13" s="56" t="s">
        <v>44</v>
      </c>
      <c r="C13" s="56" t="s">
        <v>45</v>
      </c>
      <c r="D13" s="56" t="s">
        <v>477</v>
      </c>
      <c r="E13" s="56" t="s">
        <v>53</v>
      </c>
      <c r="F13" s="56" t="s">
        <v>54</v>
      </c>
      <c r="G13" s="56" t="s">
        <v>55</v>
      </c>
      <c r="H13" s="56">
        <v>195</v>
      </c>
      <c r="I13" s="56">
        <v>5486</v>
      </c>
      <c r="J13" s="65">
        <v>6.4145299145299139</v>
      </c>
    </row>
    <row r="14" spans="1:11" ht="15" customHeight="1">
      <c r="A14" s="56" t="s">
        <v>43</v>
      </c>
      <c r="B14" s="56" t="s">
        <v>44</v>
      </c>
      <c r="C14" s="56" t="s">
        <v>56</v>
      </c>
      <c r="D14" s="56" t="s">
        <v>478</v>
      </c>
      <c r="E14" s="56" t="s">
        <v>57</v>
      </c>
      <c r="F14" s="56" t="s">
        <v>58</v>
      </c>
      <c r="G14" s="56" t="s">
        <v>48</v>
      </c>
      <c r="H14" s="56">
        <v>435</v>
      </c>
      <c r="I14" s="56">
        <v>17203</v>
      </c>
      <c r="J14" s="65">
        <v>6.2298850574712645</v>
      </c>
    </row>
    <row r="15" spans="1:11" ht="15" customHeight="1">
      <c r="A15" s="56" t="s">
        <v>43</v>
      </c>
      <c r="B15" s="56" t="s">
        <v>44</v>
      </c>
      <c r="C15" s="56" t="s">
        <v>56</v>
      </c>
      <c r="D15" s="56" t="s">
        <v>478</v>
      </c>
      <c r="E15" s="56" t="s">
        <v>59</v>
      </c>
      <c r="F15" s="56" t="s">
        <v>60</v>
      </c>
      <c r="G15" s="56" t="s">
        <v>55</v>
      </c>
      <c r="H15" s="56">
        <v>924</v>
      </c>
      <c r="I15" s="56">
        <v>6545</v>
      </c>
      <c r="J15" s="65">
        <v>7.1518759018759015</v>
      </c>
    </row>
    <row r="16" spans="1:11" ht="15" customHeight="1">
      <c r="A16" s="56" t="s">
        <v>43</v>
      </c>
      <c r="B16" s="56" t="s">
        <v>44</v>
      </c>
      <c r="C16" s="56" t="s">
        <v>56</v>
      </c>
      <c r="D16" s="56" t="s">
        <v>478</v>
      </c>
      <c r="E16" s="56" t="s">
        <v>61</v>
      </c>
      <c r="F16" s="56" t="s">
        <v>62</v>
      </c>
      <c r="G16" s="56" t="s">
        <v>48</v>
      </c>
      <c r="H16" s="56">
        <v>693</v>
      </c>
      <c r="I16" s="56">
        <v>3922</v>
      </c>
      <c r="J16" s="65">
        <v>6.747234247234247</v>
      </c>
    </row>
    <row r="17" spans="1:10" ht="15" customHeight="1">
      <c r="A17" s="56" t="s">
        <v>43</v>
      </c>
      <c r="B17" s="56" t="s">
        <v>44</v>
      </c>
      <c r="C17" s="56" t="s">
        <v>56</v>
      </c>
      <c r="D17" s="56" t="s">
        <v>478</v>
      </c>
      <c r="E17" s="56" t="s">
        <v>63</v>
      </c>
      <c r="F17" s="56" t="s">
        <v>64</v>
      </c>
      <c r="G17" s="56" t="s">
        <v>55</v>
      </c>
      <c r="H17" s="56">
        <v>616</v>
      </c>
      <c r="I17" s="56">
        <v>6702</v>
      </c>
      <c r="J17" s="65">
        <v>6.7897727272727275</v>
      </c>
    </row>
    <row r="18" spans="1:10" ht="15" customHeight="1">
      <c r="A18" s="56" t="s">
        <v>43</v>
      </c>
      <c r="B18" s="56" t="s">
        <v>44</v>
      </c>
      <c r="C18" s="56" t="s">
        <v>65</v>
      </c>
      <c r="D18" s="56" t="s">
        <v>479</v>
      </c>
      <c r="E18" s="56" t="s">
        <v>66</v>
      </c>
      <c r="F18" s="56" t="s">
        <v>67</v>
      </c>
      <c r="G18" s="56" t="s">
        <v>55</v>
      </c>
      <c r="H18" s="56">
        <v>154</v>
      </c>
      <c r="I18" s="56">
        <v>3407</v>
      </c>
      <c r="J18" s="65">
        <v>6.4935064935064934</v>
      </c>
    </row>
    <row r="19" spans="1:10" ht="15" customHeight="1">
      <c r="A19" s="56" t="s">
        <v>43</v>
      </c>
      <c r="B19" s="56" t="s">
        <v>44</v>
      </c>
      <c r="C19" s="56" t="s">
        <v>65</v>
      </c>
      <c r="D19" s="56" t="s">
        <v>479</v>
      </c>
      <c r="E19" s="56" t="s">
        <v>68</v>
      </c>
      <c r="F19" s="56" t="s">
        <v>69</v>
      </c>
      <c r="G19" s="56" t="s">
        <v>55</v>
      </c>
      <c r="H19" s="56">
        <v>445</v>
      </c>
      <c r="I19" s="56">
        <v>2293</v>
      </c>
      <c r="J19" s="65">
        <v>7.0299625468164795</v>
      </c>
    </row>
    <row r="20" spans="1:10" ht="15" customHeight="1">
      <c r="A20" s="56" t="s">
        <v>43</v>
      </c>
      <c r="B20" s="56" t="s">
        <v>44</v>
      </c>
      <c r="C20" s="56" t="s">
        <v>65</v>
      </c>
      <c r="D20" s="56" t="s">
        <v>479</v>
      </c>
      <c r="E20" s="56" t="s">
        <v>70</v>
      </c>
      <c r="F20" s="56" t="s">
        <v>71</v>
      </c>
      <c r="G20" s="56" t="s">
        <v>72</v>
      </c>
      <c r="H20" s="56">
        <v>954</v>
      </c>
      <c r="I20" s="56">
        <v>5520</v>
      </c>
      <c r="J20" s="65">
        <v>6.8920335429769395</v>
      </c>
    </row>
    <row r="21" spans="1:10" ht="15" customHeight="1">
      <c r="A21" s="56" t="s">
        <v>43</v>
      </c>
      <c r="B21" s="56" t="s">
        <v>44</v>
      </c>
      <c r="C21" s="56" t="s">
        <v>65</v>
      </c>
      <c r="D21" s="56" t="s">
        <v>479</v>
      </c>
      <c r="E21" s="56" t="s">
        <v>73</v>
      </c>
      <c r="F21" s="56" t="s">
        <v>74</v>
      </c>
      <c r="G21" s="56" t="s">
        <v>72</v>
      </c>
      <c r="H21" s="56">
        <v>31</v>
      </c>
      <c r="I21" s="56">
        <v>2283</v>
      </c>
      <c r="J21" s="65">
        <v>5.860215053763441</v>
      </c>
    </row>
    <row r="22" spans="1:10" ht="15" customHeight="1">
      <c r="A22" s="56" t="s">
        <v>43</v>
      </c>
      <c r="B22" s="56" t="s">
        <v>44</v>
      </c>
      <c r="C22" s="56" t="s">
        <v>65</v>
      </c>
      <c r="D22" s="56" t="s">
        <v>479</v>
      </c>
      <c r="E22" s="56" t="s">
        <v>75</v>
      </c>
      <c r="F22" s="56" t="s">
        <v>76</v>
      </c>
      <c r="G22" s="56" t="s">
        <v>48</v>
      </c>
      <c r="H22" s="56">
        <v>658</v>
      </c>
      <c r="I22" s="56">
        <v>3818</v>
      </c>
      <c r="J22" s="65">
        <v>6.9794832826747717</v>
      </c>
    </row>
    <row r="23" spans="1:10" ht="15" customHeight="1">
      <c r="A23" s="56" t="s">
        <v>43</v>
      </c>
      <c r="B23" s="56" t="s">
        <v>44</v>
      </c>
      <c r="C23" s="56" t="s">
        <v>65</v>
      </c>
      <c r="D23" s="56" t="s">
        <v>479</v>
      </c>
      <c r="E23" s="56" t="s">
        <v>77</v>
      </c>
      <c r="F23" s="56" t="s">
        <v>78</v>
      </c>
      <c r="G23" s="56" t="s">
        <v>48</v>
      </c>
      <c r="H23" s="56">
        <v>672</v>
      </c>
      <c r="I23" s="56">
        <v>10684</v>
      </c>
      <c r="J23" s="65">
        <v>6.3107638888888884</v>
      </c>
    </row>
    <row r="24" spans="1:10" ht="15" customHeight="1">
      <c r="A24" s="56" t="s">
        <v>43</v>
      </c>
      <c r="B24" s="56" t="s">
        <v>44</v>
      </c>
      <c r="C24" s="56" t="s">
        <v>65</v>
      </c>
      <c r="D24" s="56" t="s">
        <v>479</v>
      </c>
      <c r="E24" s="56" t="s">
        <v>79</v>
      </c>
      <c r="F24" s="56" t="s">
        <v>80</v>
      </c>
      <c r="G24" s="56" t="s">
        <v>55</v>
      </c>
      <c r="H24" s="56">
        <v>95</v>
      </c>
      <c r="I24" s="56">
        <v>767</v>
      </c>
      <c r="J24" s="65">
        <v>5.4473684210526319</v>
      </c>
    </row>
    <row r="25" spans="1:10" ht="15" customHeight="1">
      <c r="A25" s="56" t="s">
        <v>43</v>
      </c>
      <c r="B25" s="56" t="s">
        <v>44</v>
      </c>
      <c r="C25" s="56" t="s">
        <v>65</v>
      </c>
      <c r="D25" s="56" t="s">
        <v>479</v>
      </c>
      <c r="E25" s="56" t="s">
        <v>81</v>
      </c>
      <c r="F25" s="56" t="s">
        <v>82</v>
      </c>
      <c r="G25" s="56" t="s">
        <v>48</v>
      </c>
      <c r="H25" s="56">
        <v>508</v>
      </c>
      <c r="I25" s="56">
        <v>10115</v>
      </c>
      <c r="J25" s="65">
        <v>6.7979002624671923</v>
      </c>
    </row>
    <row r="26" spans="1:10" ht="15" customHeight="1">
      <c r="A26" s="56" t="s">
        <v>43</v>
      </c>
      <c r="B26" s="56" t="s">
        <v>44</v>
      </c>
      <c r="C26" s="56" t="s">
        <v>65</v>
      </c>
      <c r="D26" s="56" t="s">
        <v>479</v>
      </c>
      <c r="E26" s="56" t="s">
        <v>83</v>
      </c>
      <c r="F26" s="56" t="s">
        <v>84</v>
      </c>
      <c r="G26" s="56" t="s">
        <v>48</v>
      </c>
      <c r="H26" s="56">
        <v>688</v>
      </c>
      <c r="I26" s="56">
        <v>4464</v>
      </c>
      <c r="J26" s="65">
        <v>6.7514534883720927</v>
      </c>
    </row>
    <row r="27" spans="1:10" ht="15" customHeight="1">
      <c r="A27" s="56" t="s">
        <v>43</v>
      </c>
      <c r="B27" s="56" t="s">
        <v>44</v>
      </c>
      <c r="C27" s="56" t="s">
        <v>85</v>
      </c>
      <c r="D27" s="56" t="s">
        <v>480</v>
      </c>
      <c r="E27" s="56" t="s">
        <v>86</v>
      </c>
      <c r="F27" s="56" t="s">
        <v>87</v>
      </c>
      <c r="G27" s="56" t="s">
        <v>88</v>
      </c>
      <c r="H27" s="56">
        <v>223</v>
      </c>
      <c r="I27" s="56">
        <v>4376</v>
      </c>
      <c r="J27" s="65">
        <v>7.0964125560538118</v>
      </c>
    </row>
    <row r="28" spans="1:10" ht="15" customHeight="1">
      <c r="A28" s="56" t="s">
        <v>43</v>
      </c>
      <c r="B28" s="56" t="s">
        <v>44</v>
      </c>
      <c r="C28" s="56" t="s">
        <v>85</v>
      </c>
      <c r="D28" s="56" t="s">
        <v>480</v>
      </c>
      <c r="E28" s="56" t="s">
        <v>89</v>
      </c>
      <c r="F28" s="56" t="s">
        <v>90</v>
      </c>
      <c r="G28" s="56" t="s">
        <v>48</v>
      </c>
      <c r="H28" s="56">
        <v>91</v>
      </c>
      <c r="I28" s="56">
        <v>12988</v>
      </c>
      <c r="J28" s="65">
        <v>6.4010989010989015</v>
      </c>
    </row>
    <row r="29" spans="1:10" ht="15" customHeight="1">
      <c r="A29" s="56" t="s">
        <v>43</v>
      </c>
      <c r="B29" s="56" t="s">
        <v>44</v>
      </c>
      <c r="C29" s="56" t="s">
        <v>85</v>
      </c>
      <c r="D29" s="56" t="s">
        <v>480</v>
      </c>
      <c r="E29" s="56" t="s">
        <v>91</v>
      </c>
      <c r="F29" s="56" t="s">
        <v>92</v>
      </c>
      <c r="G29" s="56" t="s">
        <v>72</v>
      </c>
      <c r="H29" s="56">
        <v>74</v>
      </c>
      <c r="I29" s="56">
        <v>1574</v>
      </c>
      <c r="J29" s="65">
        <v>6.6554054054054053</v>
      </c>
    </row>
    <row r="30" spans="1:10" ht="15" customHeight="1">
      <c r="A30" s="56" t="s">
        <v>43</v>
      </c>
      <c r="B30" s="56" t="s">
        <v>44</v>
      </c>
      <c r="C30" s="56" t="s">
        <v>85</v>
      </c>
      <c r="D30" s="56" t="s">
        <v>480</v>
      </c>
      <c r="E30" s="56" t="s">
        <v>93</v>
      </c>
      <c r="F30" s="56" t="s">
        <v>94</v>
      </c>
      <c r="G30" s="56" t="s">
        <v>48</v>
      </c>
      <c r="H30" s="56">
        <v>62</v>
      </c>
      <c r="I30" s="56">
        <v>3572</v>
      </c>
      <c r="J30" s="65">
        <v>7.029569892473118</v>
      </c>
    </row>
    <row r="31" spans="1:10" ht="15" customHeight="1">
      <c r="A31" s="56" t="s">
        <v>43</v>
      </c>
      <c r="B31" s="56" t="s">
        <v>44</v>
      </c>
      <c r="C31" s="56" t="s">
        <v>85</v>
      </c>
      <c r="D31" s="56" t="s">
        <v>480</v>
      </c>
      <c r="E31" s="56" t="s">
        <v>95</v>
      </c>
      <c r="F31" s="56" t="s">
        <v>96</v>
      </c>
      <c r="G31" s="56" t="s">
        <v>72</v>
      </c>
      <c r="H31" s="56">
        <v>362</v>
      </c>
      <c r="I31" s="56">
        <v>4293</v>
      </c>
      <c r="J31" s="65">
        <v>6.3558931860036836</v>
      </c>
    </row>
    <row r="32" spans="1:10" ht="15" customHeight="1">
      <c r="A32" s="56" t="s">
        <v>43</v>
      </c>
      <c r="B32" s="56" t="s">
        <v>44</v>
      </c>
      <c r="C32" s="56" t="s">
        <v>97</v>
      </c>
      <c r="D32" s="56" t="s">
        <v>481</v>
      </c>
      <c r="E32" s="56" t="s">
        <v>98</v>
      </c>
      <c r="F32" s="56" t="s">
        <v>99</v>
      </c>
      <c r="G32" s="56" t="s">
        <v>48</v>
      </c>
      <c r="H32" s="56">
        <v>521</v>
      </c>
      <c r="I32" s="56">
        <v>6858</v>
      </c>
      <c r="J32" s="65">
        <v>6.4251439539347412</v>
      </c>
    </row>
    <row r="33" spans="1:11" ht="15" customHeight="1">
      <c r="A33" s="56" t="s">
        <v>43</v>
      </c>
      <c r="B33" s="56" t="s">
        <v>44</v>
      </c>
      <c r="C33" s="56" t="s">
        <v>97</v>
      </c>
      <c r="D33" s="56" t="s">
        <v>481</v>
      </c>
      <c r="E33" s="56" t="s">
        <v>100</v>
      </c>
      <c r="F33" s="56" t="s">
        <v>101</v>
      </c>
      <c r="G33" s="56" t="s">
        <v>88</v>
      </c>
      <c r="H33" s="56">
        <v>96</v>
      </c>
      <c r="I33" s="56">
        <v>1244</v>
      </c>
      <c r="J33" s="65">
        <v>7.109375</v>
      </c>
    </row>
    <row r="34" spans="1:11" ht="15" customHeight="1">
      <c r="A34" s="56" t="s">
        <v>43</v>
      </c>
      <c r="B34" s="56" t="s">
        <v>44</v>
      </c>
      <c r="C34" s="56" t="s">
        <v>97</v>
      </c>
      <c r="D34" s="56" t="s">
        <v>481</v>
      </c>
      <c r="E34" s="56" t="s">
        <v>102</v>
      </c>
      <c r="F34" s="56" t="s">
        <v>103</v>
      </c>
      <c r="G34" s="56" t="s">
        <v>55</v>
      </c>
      <c r="H34" s="56">
        <v>126</v>
      </c>
      <c r="I34" s="56">
        <v>2612</v>
      </c>
      <c r="J34" s="65">
        <v>6.6468253968253972</v>
      </c>
    </row>
    <row r="35" spans="1:11" ht="15" customHeight="1">
      <c r="A35" s="56" t="s">
        <v>43</v>
      </c>
      <c r="B35" s="56" t="s">
        <v>44</v>
      </c>
      <c r="C35" s="56" t="s">
        <v>97</v>
      </c>
      <c r="D35" s="56" t="s">
        <v>481</v>
      </c>
      <c r="E35" s="56" t="s">
        <v>104</v>
      </c>
      <c r="F35" s="56" t="s">
        <v>105</v>
      </c>
      <c r="G35" s="56" t="s">
        <v>48</v>
      </c>
      <c r="H35" s="56">
        <v>901</v>
      </c>
      <c r="I35" s="56">
        <v>9298</v>
      </c>
      <c r="J35" s="65">
        <v>6.4160192378838321</v>
      </c>
    </row>
    <row r="36" spans="1:11" ht="15" customHeight="1">
      <c r="A36" s="56" t="s">
        <v>106</v>
      </c>
      <c r="B36" s="56" t="s">
        <v>107</v>
      </c>
      <c r="C36" s="56" t="s">
        <v>108</v>
      </c>
      <c r="D36" s="56" t="s">
        <v>482</v>
      </c>
      <c r="E36" s="56" t="s">
        <v>109</v>
      </c>
      <c r="F36" s="56" t="s">
        <v>110</v>
      </c>
      <c r="G36" s="56" t="s">
        <v>55</v>
      </c>
      <c r="H36" s="56">
        <v>94</v>
      </c>
      <c r="I36" s="56">
        <v>3602</v>
      </c>
      <c r="J36" s="65">
        <v>6.9326241134751765</v>
      </c>
    </row>
    <row r="37" spans="1:11" ht="15" customHeight="1">
      <c r="A37" s="56" t="s">
        <v>106</v>
      </c>
      <c r="B37" s="56" t="s">
        <v>107</v>
      </c>
      <c r="C37" s="56" t="s">
        <v>108</v>
      </c>
      <c r="D37" s="56" t="s">
        <v>482</v>
      </c>
      <c r="E37" s="56" t="s">
        <v>111</v>
      </c>
      <c r="F37" s="56" t="s">
        <v>112</v>
      </c>
      <c r="G37" s="56" t="s">
        <v>48</v>
      </c>
      <c r="H37" s="56">
        <v>1373</v>
      </c>
      <c r="I37" s="56">
        <v>0</v>
      </c>
      <c r="J37" s="65">
        <v>6.6964068948773967</v>
      </c>
    </row>
    <row r="38" spans="1:11" ht="15" customHeight="1">
      <c r="A38" s="56" t="s">
        <v>106</v>
      </c>
      <c r="B38" s="56" t="s">
        <v>107</v>
      </c>
      <c r="C38" s="56" t="s">
        <v>108</v>
      </c>
      <c r="D38" s="56" t="s">
        <v>482</v>
      </c>
      <c r="E38" s="56" t="s">
        <v>113</v>
      </c>
      <c r="F38" s="56" t="s">
        <v>114</v>
      </c>
      <c r="G38" s="56" t="s">
        <v>48</v>
      </c>
      <c r="H38" s="56">
        <v>224</v>
      </c>
      <c r="I38" s="56">
        <v>6744</v>
      </c>
      <c r="J38" s="65">
        <v>6.1197916666666661</v>
      </c>
    </row>
    <row r="39" spans="1:11" ht="15" customHeight="1">
      <c r="A39" s="56" t="s">
        <v>106</v>
      </c>
      <c r="B39" s="56" t="s">
        <v>107</v>
      </c>
      <c r="C39" s="56" t="s">
        <v>108</v>
      </c>
      <c r="D39" s="56" t="s">
        <v>482</v>
      </c>
      <c r="E39" s="56" t="s">
        <v>115</v>
      </c>
      <c r="F39" s="56" t="s">
        <v>116</v>
      </c>
      <c r="G39" s="56" t="s">
        <v>48</v>
      </c>
      <c r="H39" s="56">
        <v>1321</v>
      </c>
      <c r="I39" s="56">
        <v>9376</v>
      </c>
      <c r="J39" s="65">
        <v>6.794726217511986</v>
      </c>
    </row>
    <row r="40" spans="1:11" ht="15" customHeight="1">
      <c r="A40" s="56" t="s">
        <v>106</v>
      </c>
      <c r="B40" s="56" t="s">
        <v>107</v>
      </c>
      <c r="C40" s="56" t="s">
        <v>117</v>
      </c>
      <c r="D40" s="56" t="s">
        <v>483</v>
      </c>
      <c r="E40" s="56" t="s">
        <v>118</v>
      </c>
      <c r="F40" s="56" t="s">
        <v>119</v>
      </c>
      <c r="G40" s="56" t="s">
        <v>55</v>
      </c>
      <c r="H40" s="56">
        <v>256</v>
      </c>
      <c r="I40" s="56">
        <v>4555</v>
      </c>
      <c r="J40" s="65">
        <v>6.285807291666667</v>
      </c>
    </row>
    <row r="41" spans="1:11" ht="15" customHeight="1">
      <c r="A41" s="56" t="s">
        <v>106</v>
      </c>
      <c r="B41" s="56" t="s">
        <v>107</v>
      </c>
      <c r="C41" s="56" t="s">
        <v>117</v>
      </c>
      <c r="D41" s="56" t="s">
        <v>483</v>
      </c>
      <c r="E41" s="56" t="s">
        <v>120</v>
      </c>
      <c r="F41" s="56" t="s">
        <v>121</v>
      </c>
      <c r="G41" s="56" t="s">
        <v>48</v>
      </c>
      <c r="H41" s="56">
        <v>1265</v>
      </c>
      <c r="I41" s="56">
        <v>5305</v>
      </c>
      <c r="J41" s="65">
        <v>6.8221343873517784</v>
      </c>
    </row>
    <row r="42" spans="1:11" ht="15" customHeight="1">
      <c r="A42" s="56" t="s">
        <v>106</v>
      </c>
      <c r="B42" s="56" t="s">
        <v>107</v>
      </c>
      <c r="C42" s="56" t="s">
        <v>117</v>
      </c>
      <c r="D42" s="56" t="s">
        <v>483</v>
      </c>
      <c r="E42" s="56" t="s">
        <v>122</v>
      </c>
      <c r="F42" s="56" t="s">
        <v>123</v>
      </c>
      <c r="G42" s="56" t="s">
        <v>48</v>
      </c>
      <c r="H42" s="56">
        <v>274</v>
      </c>
      <c r="I42" s="56">
        <v>3875</v>
      </c>
      <c r="J42" s="65">
        <v>6.0979318734793182</v>
      </c>
    </row>
    <row r="43" spans="1:11" ht="15" customHeight="1">
      <c r="A43" s="56" t="s">
        <v>106</v>
      </c>
      <c r="B43" s="56" t="s">
        <v>107</v>
      </c>
      <c r="C43" s="56" t="s">
        <v>124</v>
      </c>
      <c r="D43" s="56" t="s">
        <v>484</v>
      </c>
      <c r="E43" s="56" t="s">
        <v>125</v>
      </c>
      <c r="F43" s="56" t="s">
        <v>126</v>
      </c>
      <c r="G43" s="56" t="s">
        <v>55</v>
      </c>
      <c r="H43" s="56">
        <v>69</v>
      </c>
      <c r="I43" s="56">
        <v>4513</v>
      </c>
      <c r="J43" s="65">
        <v>7.016908212560387</v>
      </c>
    </row>
    <row r="44" spans="1:11" ht="15" customHeight="1">
      <c r="A44" s="56" t="s">
        <v>106</v>
      </c>
      <c r="B44" s="56" t="s">
        <v>107</v>
      </c>
      <c r="C44" s="56" t="s">
        <v>124</v>
      </c>
      <c r="D44" s="56" t="s">
        <v>484</v>
      </c>
      <c r="E44" s="56" t="s">
        <v>127</v>
      </c>
      <c r="F44" s="56" t="s">
        <v>128</v>
      </c>
      <c r="G44" s="56" t="s">
        <v>48</v>
      </c>
      <c r="H44" s="56">
        <v>947</v>
      </c>
      <c r="I44" s="56">
        <v>8225</v>
      </c>
      <c r="J44" s="65">
        <v>6.3199577613516364</v>
      </c>
    </row>
    <row r="45" spans="1:11" ht="15" customHeight="1">
      <c r="A45" s="56" t="s">
        <v>106</v>
      </c>
      <c r="B45" s="56" t="s">
        <v>107</v>
      </c>
      <c r="C45" s="56" t="s">
        <v>129</v>
      </c>
      <c r="D45" s="56" t="s">
        <v>485</v>
      </c>
      <c r="E45" s="56" t="s">
        <v>130</v>
      </c>
      <c r="F45" s="56" t="s">
        <v>131</v>
      </c>
      <c r="G45" s="56" t="s">
        <v>48</v>
      </c>
      <c r="H45" s="56">
        <v>634</v>
      </c>
      <c r="I45" s="56">
        <v>9671</v>
      </c>
      <c r="J45" s="65">
        <v>6.94794952681388</v>
      </c>
    </row>
    <row r="46" spans="1:11" s="45" customFormat="1" ht="15" customHeight="1">
      <c r="A46" s="56" t="s">
        <v>106</v>
      </c>
      <c r="B46" s="56" t="s">
        <v>107</v>
      </c>
      <c r="C46" s="56" t="s">
        <v>129</v>
      </c>
      <c r="D46" s="56" t="s">
        <v>485</v>
      </c>
      <c r="E46" s="56" t="s">
        <v>132</v>
      </c>
      <c r="F46" s="56" t="s">
        <v>133</v>
      </c>
      <c r="G46" s="56" t="s">
        <v>48</v>
      </c>
      <c r="H46" s="56">
        <v>239</v>
      </c>
      <c r="I46" s="56">
        <v>2715</v>
      </c>
      <c r="J46" s="65">
        <v>6.6631799163179917</v>
      </c>
      <c r="K46" s="12"/>
    </row>
    <row r="47" spans="1:11" s="45" customFormat="1" ht="15" customHeight="1">
      <c r="A47" s="56" t="s">
        <v>106</v>
      </c>
      <c r="B47" s="56" t="s">
        <v>107</v>
      </c>
      <c r="C47" s="56" t="s">
        <v>134</v>
      </c>
      <c r="D47" s="56" t="s">
        <v>486</v>
      </c>
      <c r="E47" s="56" t="s">
        <v>135</v>
      </c>
      <c r="F47" s="56" t="s">
        <v>136</v>
      </c>
      <c r="G47" s="56" t="s">
        <v>55</v>
      </c>
      <c r="H47" s="56">
        <v>16</v>
      </c>
      <c r="I47" s="56">
        <v>4113</v>
      </c>
      <c r="J47" s="65">
        <v>6.041666666666667</v>
      </c>
      <c r="K47" s="12"/>
    </row>
    <row r="48" spans="1:11" s="45" customFormat="1" ht="15" customHeight="1">
      <c r="A48" s="56" t="s">
        <v>106</v>
      </c>
      <c r="B48" s="56" t="s">
        <v>107</v>
      </c>
      <c r="C48" s="56" t="s">
        <v>134</v>
      </c>
      <c r="D48" s="56" t="s">
        <v>486</v>
      </c>
      <c r="E48" s="56" t="s">
        <v>137</v>
      </c>
      <c r="F48" s="56" t="s">
        <v>138</v>
      </c>
      <c r="G48" s="56" t="s">
        <v>48</v>
      </c>
      <c r="H48" s="56">
        <v>790</v>
      </c>
      <c r="I48" s="56">
        <v>6833</v>
      </c>
      <c r="J48" s="65">
        <v>6.5</v>
      </c>
      <c r="K48" s="12"/>
    </row>
    <row r="49" spans="1:11" s="45" customFormat="1" ht="15" customHeight="1">
      <c r="A49" s="56" t="s">
        <v>106</v>
      </c>
      <c r="B49" s="56" t="s">
        <v>107</v>
      </c>
      <c r="C49" s="56" t="s">
        <v>139</v>
      </c>
      <c r="D49" s="56" t="s">
        <v>487</v>
      </c>
      <c r="E49" s="56" t="s">
        <v>140</v>
      </c>
      <c r="F49" s="56" t="s">
        <v>141</v>
      </c>
      <c r="G49" s="56" t="s">
        <v>48</v>
      </c>
      <c r="H49" s="56">
        <v>303</v>
      </c>
      <c r="I49" s="56">
        <v>9308</v>
      </c>
      <c r="J49" s="65">
        <v>6.2293729372937294</v>
      </c>
      <c r="K49" s="12"/>
    </row>
    <row r="50" spans="1:11" s="45" customFormat="1" ht="15" customHeight="1">
      <c r="A50" s="56" t="s">
        <v>106</v>
      </c>
      <c r="B50" s="56" t="s">
        <v>107</v>
      </c>
      <c r="C50" s="56" t="s">
        <v>139</v>
      </c>
      <c r="D50" s="56" t="s">
        <v>487</v>
      </c>
      <c r="E50" s="56" t="s">
        <v>142</v>
      </c>
      <c r="F50" s="56" t="s">
        <v>143</v>
      </c>
      <c r="G50" s="56" t="s">
        <v>48</v>
      </c>
      <c r="H50" s="56">
        <v>1212</v>
      </c>
      <c r="I50" s="56">
        <v>11560</v>
      </c>
      <c r="J50" s="65">
        <v>6.8371837183718362</v>
      </c>
      <c r="K50" s="12"/>
    </row>
    <row r="51" spans="1:11" s="45" customFormat="1" ht="15" customHeight="1">
      <c r="A51" s="56" t="s">
        <v>106</v>
      </c>
      <c r="B51" s="56" t="s">
        <v>107</v>
      </c>
      <c r="C51" s="56" t="s">
        <v>144</v>
      </c>
      <c r="D51" s="56" t="s">
        <v>488</v>
      </c>
      <c r="E51" s="56" t="s">
        <v>145</v>
      </c>
      <c r="F51" s="56" t="s">
        <v>146</v>
      </c>
      <c r="G51" s="56" t="s">
        <v>48</v>
      </c>
      <c r="H51" s="56">
        <v>476</v>
      </c>
      <c r="I51" s="56">
        <v>3212</v>
      </c>
      <c r="J51" s="65">
        <v>6.7752100840336134</v>
      </c>
      <c r="K51" s="12"/>
    </row>
    <row r="52" spans="1:11" s="45" customFormat="1" ht="15" customHeight="1">
      <c r="A52" s="56" t="s">
        <v>106</v>
      </c>
      <c r="B52" s="56" t="s">
        <v>107</v>
      </c>
      <c r="C52" s="56" t="s">
        <v>144</v>
      </c>
      <c r="D52" s="56" t="s">
        <v>488</v>
      </c>
      <c r="E52" s="56" t="s">
        <v>147</v>
      </c>
      <c r="F52" s="56" t="s">
        <v>148</v>
      </c>
      <c r="G52" s="56" t="s">
        <v>55</v>
      </c>
      <c r="H52" s="56">
        <v>1074</v>
      </c>
      <c r="I52" s="56">
        <v>6427</v>
      </c>
      <c r="J52" s="65">
        <v>7.1322160148975788</v>
      </c>
      <c r="K52" s="12"/>
    </row>
    <row r="53" spans="1:11" s="45" customFormat="1" ht="15" customHeight="1">
      <c r="A53" s="56" t="s">
        <v>106</v>
      </c>
      <c r="B53" s="56" t="s">
        <v>107</v>
      </c>
      <c r="C53" s="56" t="s">
        <v>144</v>
      </c>
      <c r="D53" s="56" t="s">
        <v>488</v>
      </c>
      <c r="E53" s="56" t="s">
        <v>149</v>
      </c>
      <c r="F53" s="56" t="s">
        <v>150</v>
      </c>
      <c r="G53" s="56" t="s">
        <v>48</v>
      </c>
      <c r="H53" s="56">
        <v>179</v>
      </c>
      <c r="I53" s="56">
        <v>9217</v>
      </c>
      <c r="J53" s="65">
        <v>5.9031657355679705</v>
      </c>
      <c r="K53" s="12"/>
    </row>
    <row r="54" spans="1:11">
      <c r="A54" s="56" t="s">
        <v>151</v>
      </c>
      <c r="B54" s="56" t="s">
        <v>152</v>
      </c>
      <c r="C54" s="56" t="s">
        <v>153</v>
      </c>
      <c r="D54" s="56" t="s">
        <v>489</v>
      </c>
      <c r="E54" s="56" t="s">
        <v>154</v>
      </c>
      <c r="F54" s="56" t="s">
        <v>155</v>
      </c>
      <c r="G54" s="56" t="s">
        <v>48</v>
      </c>
      <c r="H54" s="56">
        <v>230</v>
      </c>
      <c r="I54" s="56">
        <v>3966</v>
      </c>
      <c r="J54" s="65">
        <v>6.5905797101449268</v>
      </c>
    </row>
    <row r="55" spans="1:11">
      <c r="A55" s="56" t="s">
        <v>151</v>
      </c>
      <c r="B55" s="56" t="s">
        <v>152</v>
      </c>
      <c r="C55" s="56" t="s">
        <v>153</v>
      </c>
      <c r="D55" s="56" t="s">
        <v>489</v>
      </c>
      <c r="E55" s="56" t="s">
        <v>156</v>
      </c>
      <c r="F55" s="56" t="s">
        <v>157</v>
      </c>
      <c r="G55" s="56" t="s">
        <v>48</v>
      </c>
      <c r="H55" s="56">
        <v>2477</v>
      </c>
      <c r="I55" s="56">
        <v>10356</v>
      </c>
      <c r="J55" s="65">
        <v>6.7857623469250434</v>
      </c>
    </row>
    <row r="56" spans="1:11">
      <c r="A56" s="56" t="s">
        <v>151</v>
      </c>
      <c r="B56" s="56" t="s">
        <v>152</v>
      </c>
      <c r="C56" s="56" t="s">
        <v>153</v>
      </c>
      <c r="D56" s="56" t="s">
        <v>489</v>
      </c>
      <c r="E56" s="56" t="s">
        <v>158</v>
      </c>
      <c r="F56" s="56" t="s">
        <v>159</v>
      </c>
      <c r="G56" s="56" t="s">
        <v>55</v>
      </c>
      <c r="H56" s="56">
        <v>174</v>
      </c>
      <c r="I56" s="56">
        <v>3451</v>
      </c>
      <c r="J56" s="65">
        <v>6.6139846743295019</v>
      </c>
    </row>
    <row r="57" spans="1:11">
      <c r="A57" s="56" t="s">
        <v>151</v>
      </c>
      <c r="B57" s="56" t="s">
        <v>152</v>
      </c>
      <c r="C57" s="56" t="s">
        <v>153</v>
      </c>
      <c r="D57" s="56" t="s">
        <v>489</v>
      </c>
      <c r="E57" s="56" t="s">
        <v>160</v>
      </c>
      <c r="F57" s="56" t="s">
        <v>161</v>
      </c>
      <c r="G57" s="56" t="s">
        <v>88</v>
      </c>
      <c r="H57" s="56">
        <v>820</v>
      </c>
      <c r="I57" s="56">
        <v>4913</v>
      </c>
      <c r="J57" s="65">
        <v>6.6595528455284549</v>
      </c>
    </row>
    <row r="58" spans="1:11">
      <c r="A58" s="56" t="s">
        <v>151</v>
      </c>
      <c r="B58" s="56" t="s">
        <v>152</v>
      </c>
      <c r="C58" s="56" t="s">
        <v>153</v>
      </c>
      <c r="D58" s="56" t="s">
        <v>489</v>
      </c>
      <c r="E58" s="56" t="s">
        <v>162</v>
      </c>
      <c r="F58" s="56" t="s">
        <v>163</v>
      </c>
      <c r="G58" s="56" t="s">
        <v>48</v>
      </c>
      <c r="H58" s="56">
        <v>1039</v>
      </c>
      <c r="I58" s="56">
        <v>6709</v>
      </c>
      <c r="J58" s="65">
        <v>7.0484440166827076</v>
      </c>
    </row>
    <row r="59" spans="1:11">
      <c r="A59" s="56" t="s">
        <v>151</v>
      </c>
      <c r="B59" s="56" t="s">
        <v>152</v>
      </c>
      <c r="C59" s="56" t="s">
        <v>153</v>
      </c>
      <c r="D59" s="56" t="s">
        <v>489</v>
      </c>
      <c r="E59" s="56" t="s">
        <v>164</v>
      </c>
      <c r="F59" s="56" t="s">
        <v>165</v>
      </c>
      <c r="G59" s="56" t="s">
        <v>48</v>
      </c>
      <c r="H59" s="56">
        <v>41</v>
      </c>
      <c r="I59" s="56">
        <v>4620</v>
      </c>
      <c r="J59" s="65">
        <v>6.0365853658536581</v>
      </c>
    </row>
    <row r="60" spans="1:11">
      <c r="A60" s="56" t="s">
        <v>151</v>
      </c>
      <c r="B60" s="56" t="s">
        <v>152</v>
      </c>
      <c r="C60" s="56" t="s">
        <v>166</v>
      </c>
      <c r="D60" s="56" t="s">
        <v>490</v>
      </c>
      <c r="E60" s="56" t="s">
        <v>167</v>
      </c>
      <c r="F60" s="56" t="s">
        <v>168</v>
      </c>
      <c r="G60" s="56" t="s">
        <v>55</v>
      </c>
      <c r="H60" s="56">
        <v>1528</v>
      </c>
      <c r="I60" s="56">
        <v>4670</v>
      </c>
      <c r="J60" s="65">
        <v>7.2889397905759159</v>
      </c>
    </row>
    <row r="61" spans="1:11">
      <c r="A61" s="56" t="s">
        <v>151</v>
      </c>
      <c r="B61" s="56" t="s">
        <v>152</v>
      </c>
      <c r="C61" s="56" t="s">
        <v>166</v>
      </c>
      <c r="D61" s="56" t="s">
        <v>490</v>
      </c>
      <c r="E61" s="56" t="s">
        <v>169</v>
      </c>
      <c r="F61" s="56" t="s">
        <v>170</v>
      </c>
      <c r="G61" s="56" t="s">
        <v>48</v>
      </c>
      <c r="H61" s="56">
        <v>1517</v>
      </c>
      <c r="I61" s="56">
        <v>9971</v>
      </c>
      <c r="J61" s="65">
        <v>6.7781806196440346</v>
      </c>
    </row>
    <row r="62" spans="1:11">
      <c r="A62" s="56" t="s">
        <v>151</v>
      </c>
      <c r="B62" s="56" t="s">
        <v>152</v>
      </c>
      <c r="C62" s="56" t="s">
        <v>171</v>
      </c>
      <c r="D62" s="56" t="s">
        <v>491</v>
      </c>
      <c r="E62" s="56" t="s">
        <v>172</v>
      </c>
      <c r="F62" s="56" t="s">
        <v>173</v>
      </c>
      <c r="G62" s="56" t="s">
        <v>48</v>
      </c>
      <c r="H62" s="56">
        <v>301</v>
      </c>
      <c r="I62" s="56">
        <v>7875</v>
      </c>
      <c r="J62" s="65">
        <v>6.3981173864894796</v>
      </c>
    </row>
    <row r="63" spans="1:11">
      <c r="A63" s="56" t="s">
        <v>151</v>
      </c>
      <c r="B63" s="56" t="s">
        <v>152</v>
      </c>
      <c r="C63" s="56" t="s">
        <v>171</v>
      </c>
      <c r="D63" s="56" t="s">
        <v>491</v>
      </c>
      <c r="E63" s="56" t="s">
        <v>174</v>
      </c>
      <c r="F63" s="56" t="s">
        <v>175</v>
      </c>
      <c r="G63" s="56" t="s">
        <v>72</v>
      </c>
      <c r="H63" s="56">
        <v>159</v>
      </c>
      <c r="I63" s="56">
        <v>1074</v>
      </c>
      <c r="J63" s="65">
        <v>7.2064989517819704</v>
      </c>
    </row>
    <row r="64" spans="1:11">
      <c r="A64" s="56" t="s">
        <v>151</v>
      </c>
      <c r="B64" s="56" t="s">
        <v>152</v>
      </c>
      <c r="C64" s="56" t="s">
        <v>171</v>
      </c>
      <c r="D64" s="56" t="s">
        <v>491</v>
      </c>
      <c r="E64" s="56" t="s">
        <v>176</v>
      </c>
      <c r="F64" s="56" t="s">
        <v>177</v>
      </c>
      <c r="G64" s="56" t="s">
        <v>178</v>
      </c>
      <c r="H64" s="56">
        <v>111</v>
      </c>
      <c r="I64" s="56">
        <v>4198</v>
      </c>
      <c r="J64" s="65">
        <v>4.9174174174174174</v>
      </c>
    </row>
    <row r="65" spans="1:10">
      <c r="A65" s="56" t="s">
        <v>151</v>
      </c>
      <c r="B65" s="56" t="s">
        <v>152</v>
      </c>
      <c r="C65" s="56" t="s">
        <v>171</v>
      </c>
      <c r="D65" s="56" t="s">
        <v>491</v>
      </c>
      <c r="E65" s="56" t="s">
        <v>179</v>
      </c>
      <c r="F65" s="56" t="s">
        <v>180</v>
      </c>
      <c r="G65" s="56" t="s">
        <v>88</v>
      </c>
      <c r="H65" s="56">
        <v>90</v>
      </c>
      <c r="I65" s="56">
        <v>5318</v>
      </c>
      <c r="J65" s="65">
        <v>6.9259259259259265</v>
      </c>
    </row>
    <row r="66" spans="1:10">
      <c r="A66" s="56" t="s">
        <v>151</v>
      </c>
      <c r="B66" s="56" t="s">
        <v>152</v>
      </c>
      <c r="C66" s="56" t="s">
        <v>171</v>
      </c>
      <c r="D66" s="56" t="s">
        <v>491</v>
      </c>
      <c r="E66" s="56" t="s">
        <v>181</v>
      </c>
      <c r="F66" s="56" t="s">
        <v>182</v>
      </c>
      <c r="G66" s="56" t="s">
        <v>55</v>
      </c>
      <c r="H66" s="56">
        <v>187</v>
      </c>
      <c r="I66" s="56">
        <v>5533</v>
      </c>
      <c r="J66" s="65">
        <v>6.5106951871657754</v>
      </c>
    </row>
    <row r="67" spans="1:10">
      <c r="A67" s="56" t="s">
        <v>151</v>
      </c>
      <c r="B67" s="56" t="s">
        <v>152</v>
      </c>
      <c r="C67" s="56" t="s">
        <v>171</v>
      </c>
      <c r="D67" s="56" t="s">
        <v>491</v>
      </c>
      <c r="E67" s="56" t="s">
        <v>183</v>
      </c>
      <c r="F67" s="56" t="s">
        <v>184</v>
      </c>
      <c r="G67" s="56" t="s">
        <v>48</v>
      </c>
      <c r="H67" s="56">
        <v>220</v>
      </c>
      <c r="I67" s="56">
        <v>16095</v>
      </c>
      <c r="J67" s="65">
        <v>5.4659090909090908</v>
      </c>
    </row>
    <row r="68" spans="1:10">
      <c r="A68" s="56" t="s">
        <v>151</v>
      </c>
      <c r="B68" s="56" t="s">
        <v>152</v>
      </c>
      <c r="C68" s="56" t="s">
        <v>185</v>
      </c>
      <c r="D68" s="56" t="s">
        <v>492</v>
      </c>
      <c r="E68" s="56" t="s">
        <v>186</v>
      </c>
      <c r="F68" s="56" t="s">
        <v>187</v>
      </c>
      <c r="G68" s="56" t="s">
        <v>48</v>
      </c>
      <c r="H68" s="56">
        <v>816</v>
      </c>
      <c r="I68" s="56">
        <v>7394</v>
      </c>
      <c r="J68" s="65">
        <v>6.6605392156862742</v>
      </c>
    </row>
    <row r="69" spans="1:10">
      <c r="A69" s="56" t="s">
        <v>151</v>
      </c>
      <c r="B69" s="56" t="s">
        <v>152</v>
      </c>
      <c r="C69" s="56" t="s">
        <v>185</v>
      </c>
      <c r="D69" s="56" t="s">
        <v>492</v>
      </c>
      <c r="E69" s="56" t="s">
        <v>188</v>
      </c>
      <c r="F69" s="56" t="s">
        <v>189</v>
      </c>
      <c r="G69" s="56" t="s">
        <v>48</v>
      </c>
      <c r="H69" s="56">
        <v>482</v>
      </c>
      <c r="I69" s="56">
        <v>3620</v>
      </c>
      <c r="J69" s="65">
        <v>7.0487551867219915</v>
      </c>
    </row>
    <row r="70" spans="1:10">
      <c r="A70" s="56" t="s">
        <v>151</v>
      </c>
      <c r="B70" s="56" t="s">
        <v>152</v>
      </c>
      <c r="C70" s="56" t="s">
        <v>185</v>
      </c>
      <c r="D70" s="56" t="s">
        <v>492</v>
      </c>
      <c r="E70" s="56" t="s">
        <v>190</v>
      </c>
      <c r="F70" s="56" t="s">
        <v>191</v>
      </c>
      <c r="G70" s="56" t="s">
        <v>48</v>
      </c>
      <c r="H70" s="56">
        <v>1032</v>
      </c>
      <c r="I70" s="56">
        <v>7994</v>
      </c>
      <c r="J70" s="65">
        <v>6.5358527131782944</v>
      </c>
    </row>
    <row r="71" spans="1:10">
      <c r="A71" s="56" t="s">
        <v>151</v>
      </c>
      <c r="B71" s="56" t="s">
        <v>152</v>
      </c>
      <c r="C71" s="56" t="s">
        <v>185</v>
      </c>
      <c r="D71" s="56" t="s">
        <v>492</v>
      </c>
      <c r="E71" s="56" t="s">
        <v>192</v>
      </c>
      <c r="F71" s="56" t="s">
        <v>193</v>
      </c>
      <c r="G71" s="56" t="s">
        <v>55</v>
      </c>
      <c r="H71" s="56">
        <v>429</v>
      </c>
      <c r="I71" s="56">
        <v>4041</v>
      </c>
      <c r="J71" s="65">
        <v>7.1114996114996121</v>
      </c>
    </row>
    <row r="72" spans="1:10">
      <c r="A72" s="56" t="s">
        <v>151</v>
      </c>
      <c r="B72" s="56" t="s">
        <v>152</v>
      </c>
      <c r="C72" s="56" t="s">
        <v>185</v>
      </c>
      <c r="D72" s="56" t="s">
        <v>492</v>
      </c>
      <c r="E72" s="56" t="s">
        <v>194</v>
      </c>
      <c r="F72" s="56" t="s">
        <v>195</v>
      </c>
      <c r="G72" s="56" t="s">
        <v>55</v>
      </c>
      <c r="H72" s="56">
        <v>1890</v>
      </c>
      <c r="I72" s="56">
        <v>6321</v>
      </c>
      <c r="J72" s="65">
        <v>6.7526455026455023</v>
      </c>
    </row>
    <row r="73" spans="1:10">
      <c r="A73" s="56" t="s">
        <v>151</v>
      </c>
      <c r="B73" s="56" t="s">
        <v>152</v>
      </c>
      <c r="C73" s="56" t="s">
        <v>185</v>
      </c>
      <c r="D73" s="56" t="s">
        <v>492</v>
      </c>
      <c r="E73" s="56" t="s">
        <v>196</v>
      </c>
      <c r="F73" s="56" t="s">
        <v>197</v>
      </c>
      <c r="G73" s="56" t="s">
        <v>48</v>
      </c>
      <c r="H73" s="56">
        <v>2822</v>
      </c>
      <c r="I73" s="56">
        <v>12425</v>
      </c>
      <c r="J73" s="65">
        <v>6.8928655799669274</v>
      </c>
    </row>
    <row r="74" spans="1:10">
      <c r="A74" s="56" t="s">
        <v>151</v>
      </c>
      <c r="B74" s="56" t="s">
        <v>152</v>
      </c>
      <c r="C74" s="56" t="s">
        <v>198</v>
      </c>
      <c r="D74" s="56" t="s">
        <v>493</v>
      </c>
      <c r="E74" s="56" t="s">
        <v>199</v>
      </c>
      <c r="F74" s="56" t="s">
        <v>200</v>
      </c>
      <c r="G74" s="56" t="s">
        <v>48</v>
      </c>
      <c r="H74" s="56">
        <v>705</v>
      </c>
      <c r="I74" s="56">
        <v>6239</v>
      </c>
      <c r="J74" s="65">
        <v>6.8286052009456268</v>
      </c>
    </row>
    <row r="75" spans="1:10">
      <c r="A75" s="56" t="s">
        <v>151</v>
      </c>
      <c r="B75" s="56" t="s">
        <v>152</v>
      </c>
      <c r="C75" s="56" t="s">
        <v>198</v>
      </c>
      <c r="D75" s="56" t="s">
        <v>493</v>
      </c>
      <c r="E75" s="56" t="s">
        <v>201</v>
      </c>
      <c r="F75" s="56" t="s">
        <v>202</v>
      </c>
      <c r="G75" s="56" t="s">
        <v>55</v>
      </c>
      <c r="H75" s="56">
        <v>1002</v>
      </c>
      <c r="I75" s="56">
        <v>6072</v>
      </c>
      <c r="J75" s="65">
        <v>6.8271789753825676</v>
      </c>
    </row>
    <row r="76" spans="1:10">
      <c r="A76" s="56" t="s">
        <v>151</v>
      </c>
      <c r="B76" s="56" t="s">
        <v>152</v>
      </c>
      <c r="C76" s="56" t="s">
        <v>198</v>
      </c>
      <c r="D76" s="56" t="s">
        <v>493</v>
      </c>
      <c r="E76" s="56" t="s">
        <v>203</v>
      </c>
      <c r="F76" s="56" t="s">
        <v>204</v>
      </c>
      <c r="G76" s="56" t="s">
        <v>48</v>
      </c>
      <c r="H76" s="56">
        <v>2259</v>
      </c>
      <c r="I76" s="56">
        <v>13438</v>
      </c>
      <c r="J76" s="65">
        <v>6.8636564851704298</v>
      </c>
    </row>
    <row r="77" spans="1:10">
      <c r="A77" s="56" t="s">
        <v>151</v>
      </c>
      <c r="B77" s="56" t="s">
        <v>152</v>
      </c>
      <c r="C77" s="56" t="s">
        <v>198</v>
      </c>
      <c r="D77" s="56" t="s">
        <v>493</v>
      </c>
      <c r="E77" s="56" t="s">
        <v>205</v>
      </c>
      <c r="F77" s="56" t="s">
        <v>206</v>
      </c>
      <c r="G77" s="56" t="s">
        <v>48</v>
      </c>
      <c r="H77" s="56">
        <v>143</v>
      </c>
      <c r="I77" s="56">
        <v>5899</v>
      </c>
      <c r="J77" s="65">
        <v>6.2995337995337994</v>
      </c>
    </row>
    <row r="78" spans="1:10">
      <c r="A78" s="56" t="s">
        <v>151</v>
      </c>
      <c r="B78" s="56" t="s">
        <v>152</v>
      </c>
      <c r="C78" s="56" t="s">
        <v>198</v>
      </c>
      <c r="D78" s="56" t="s">
        <v>493</v>
      </c>
      <c r="E78" s="56" t="s">
        <v>207</v>
      </c>
      <c r="F78" s="56" t="s">
        <v>208</v>
      </c>
      <c r="G78" s="56" t="s">
        <v>178</v>
      </c>
      <c r="H78" s="56">
        <v>277</v>
      </c>
      <c r="I78" s="56">
        <v>4516</v>
      </c>
      <c r="J78" s="65">
        <v>5.7430806257521052</v>
      </c>
    </row>
    <row r="79" spans="1:10">
      <c r="A79" s="56" t="s">
        <v>209</v>
      </c>
      <c r="B79" s="56" t="s">
        <v>210</v>
      </c>
      <c r="C79" s="56" t="s">
        <v>211</v>
      </c>
      <c r="D79" s="56" t="s">
        <v>494</v>
      </c>
      <c r="E79" s="56" t="s">
        <v>212</v>
      </c>
      <c r="F79" s="56" t="s">
        <v>213</v>
      </c>
      <c r="G79" s="56" t="s">
        <v>55</v>
      </c>
      <c r="H79" s="56">
        <v>372</v>
      </c>
      <c r="I79" s="56">
        <v>4434</v>
      </c>
      <c r="J79" s="65">
        <v>7.0542114695340494</v>
      </c>
    </row>
    <row r="80" spans="1:10">
      <c r="A80" s="56" t="s">
        <v>209</v>
      </c>
      <c r="B80" s="56" t="s">
        <v>210</v>
      </c>
      <c r="C80" s="56" t="s">
        <v>211</v>
      </c>
      <c r="D80" s="56" t="s">
        <v>494</v>
      </c>
      <c r="E80" s="56" t="s">
        <v>214</v>
      </c>
      <c r="F80" s="56" t="s">
        <v>215</v>
      </c>
      <c r="G80" s="56" t="s">
        <v>48</v>
      </c>
      <c r="H80" s="56">
        <v>259</v>
      </c>
      <c r="I80" s="56">
        <v>6633</v>
      </c>
      <c r="J80" s="65">
        <v>6.4189189189189193</v>
      </c>
    </row>
    <row r="81" spans="1:10">
      <c r="A81" s="56" t="s">
        <v>209</v>
      </c>
      <c r="B81" s="56" t="s">
        <v>210</v>
      </c>
      <c r="C81" s="56" t="s">
        <v>211</v>
      </c>
      <c r="D81" s="56" t="s">
        <v>494</v>
      </c>
      <c r="E81" s="56" t="s">
        <v>216</v>
      </c>
      <c r="F81" s="56" t="s">
        <v>217</v>
      </c>
      <c r="G81" s="56" t="s">
        <v>48</v>
      </c>
      <c r="H81" s="56">
        <v>474</v>
      </c>
      <c r="I81" s="56">
        <v>3642</v>
      </c>
      <c r="J81" s="65">
        <v>6.5101969057665263</v>
      </c>
    </row>
    <row r="82" spans="1:10">
      <c r="A82" s="56" t="s">
        <v>209</v>
      </c>
      <c r="B82" s="56" t="s">
        <v>210</v>
      </c>
      <c r="C82" s="56" t="s">
        <v>218</v>
      </c>
      <c r="D82" s="56" t="s">
        <v>495</v>
      </c>
      <c r="E82" s="56" t="s">
        <v>219</v>
      </c>
      <c r="F82" s="56" t="s">
        <v>220</v>
      </c>
      <c r="G82" s="56" t="s">
        <v>88</v>
      </c>
      <c r="H82" s="56">
        <v>620</v>
      </c>
      <c r="I82" s="56">
        <v>4888</v>
      </c>
      <c r="J82" s="65">
        <v>6.5658602150537639</v>
      </c>
    </row>
    <row r="83" spans="1:10">
      <c r="A83" s="56" t="s">
        <v>209</v>
      </c>
      <c r="B83" s="56" t="s">
        <v>210</v>
      </c>
      <c r="C83" s="56" t="s">
        <v>218</v>
      </c>
      <c r="D83" s="56" t="s">
        <v>495</v>
      </c>
      <c r="E83" s="56" t="s">
        <v>221</v>
      </c>
      <c r="F83" s="56" t="s">
        <v>222</v>
      </c>
      <c r="G83" s="56" t="s">
        <v>72</v>
      </c>
      <c r="H83" s="56">
        <v>408</v>
      </c>
      <c r="I83" s="56">
        <v>1218</v>
      </c>
      <c r="J83" s="65">
        <v>6.9444444444444446</v>
      </c>
    </row>
    <row r="84" spans="1:10">
      <c r="A84" s="56" t="s">
        <v>209</v>
      </c>
      <c r="B84" s="56" t="s">
        <v>210</v>
      </c>
      <c r="C84" s="56" t="s">
        <v>218</v>
      </c>
      <c r="D84" s="56" t="s">
        <v>495</v>
      </c>
      <c r="E84" s="56" t="s">
        <v>223</v>
      </c>
      <c r="F84" s="56" t="s">
        <v>224</v>
      </c>
      <c r="G84" s="56" t="s">
        <v>48</v>
      </c>
      <c r="H84" s="56">
        <v>1908</v>
      </c>
      <c r="I84" s="56">
        <v>21568</v>
      </c>
      <c r="J84" s="65">
        <v>6.066561844863732</v>
      </c>
    </row>
    <row r="85" spans="1:10">
      <c r="A85" s="56" t="s">
        <v>209</v>
      </c>
      <c r="B85" s="56" t="s">
        <v>210</v>
      </c>
      <c r="C85" s="56" t="s">
        <v>225</v>
      </c>
      <c r="D85" s="56" t="s">
        <v>496</v>
      </c>
      <c r="E85" s="56" t="s">
        <v>226</v>
      </c>
      <c r="F85" s="56" t="s">
        <v>227</v>
      </c>
      <c r="G85" s="56" t="s">
        <v>48</v>
      </c>
      <c r="H85" s="56">
        <v>44</v>
      </c>
      <c r="I85" s="56">
        <v>3968</v>
      </c>
      <c r="J85" s="65">
        <v>6.7045454545454541</v>
      </c>
    </row>
    <row r="86" spans="1:10">
      <c r="A86" s="56" t="s">
        <v>209</v>
      </c>
      <c r="B86" s="56" t="s">
        <v>210</v>
      </c>
      <c r="C86" s="56" t="s">
        <v>225</v>
      </c>
      <c r="D86" s="56" t="s">
        <v>496</v>
      </c>
      <c r="E86" s="56" t="s">
        <v>228</v>
      </c>
      <c r="F86" s="56" t="s">
        <v>229</v>
      </c>
      <c r="G86" s="56" t="s">
        <v>88</v>
      </c>
      <c r="H86" s="56">
        <v>1422</v>
      </c>
      <c r="I86" s="56">
        <v>4235</v>
      </c>
      <c r="J86" s="65">
        <v>7.325949367088608</v>
      </c>
    </row>
    <row r="87" spans="1:10">
      <c r="A87" s="56" t="s">
        <v>209</v>
      </c>
      <c r="B87" s="56" t="s">
        <v>210</v>
      </c>
      <c r="C87" s="56" t="s">
        <v>225</v>
      </c>
      <c r="D87" s="56" t="s">
        <v>496</v>
      </c>
      <c r="E87" s="56" t="s">
        <v>230</v>
      </c>
      <c r="F87" s="56" t="s">
        <v>231</v>
      </c>
      <c r="G87" s="56" t="s">
        <v>55</v>
      </c>
      <c r="H87" s="56">
        <v>828</v>
      </c>
      <c r="I87" s="56">
        <v>2839</v>
      </c>
      <c r="J87" s="65">
        <v>7.2685185185185182</v>
      </c>
    </row>
    <row r="88" spans="1:10">
      <c r="A88" s="56" t="s">
        <v>209</v>
      </c>
      <c r="B88" s="56" t="s">
        <v>210</v>
      </c>
      <c r="C88" s="56" t="s">
        <v>225</v>
      </c>
      <c r="D88" s="56" t="s">
        <v>496</v>
      </c>
      <c r="E88" s="56" t="s">
        <v>232</v>
      </c>
      <c r="F88" s="56" t="s">
        <v>233</v>
      </c>
      <c r="G88" s="56" t="s">
        <v>48</v>
      </c>
      <c r="H88" s="56">
        <v>1856</v>
      </c>
      <c r="I88" s="56">
        <v>13473</v>
      </c>
      <c r="J88" s="65">
        <v>6.575520833333333</v>
      </c>
    </row>
    <row r="89" spans="1:10">
      <c r="A89" s="56" t="s">
        <v>209</v>
      </c>
      <c r="B89" s="56" t="s">
        <v>210</v>
      </c>
      <c r="C89" s="56" t="s">
        <v>234</v>
      </c>
      <c r="D89" s="56" t="s">
        <v>497</v>
      </c>
      <c r="E89" s="56" t="s">
        <v>235</v>
      </c>
      <c r="F89" s="56" t="s">
        <v>236</v>
      </c>
      <c r="G89" s="56" t="s">
        <v>88</v>
      </c>
      <c r="H89" s="56">
        <v>820</v>
      </c>
      <c r="I89" s="56">
        <v>2245</v>
      </c>
      <c r="J89" s="65">
        <v>7.3048780487804876</v>
      </c>
    </row>
    <row r="90" spans="1:10">
      <c r="A90" s="56" t="s">
        <v>209</v>
      </c>
      <c r="B90" s="56" t="s">
        <v>210</v>
      </c>
      <c r="C90" s="56" t="s">
        <v>234</v>
      </c>
      <c r="D90" s="56" t="s">
        <v>497</v>
      </c>
      <c r="E90" s="56" t="s">
        <v>237</v>
      </c>
      <c r="F90" s="56" t="s">
        <v>238</v>
      </c>
      <c r="G90" s="56" t="s">
        <v>55</v>
      </c>
      <c r="H90" s="56">
        <v>862</v>
      </c>
      <c r="I90" s="56">
        <v>2351</v>
      </c>
      <c r="J90" s="65">
        <v>7.23414539829853</v>
      </c>
    </row>
    <row r="91" spans="1:10">
      <c r="A91" s="56" t="s">
        <v>209</v>
      </c>
      <c r="B91" s="56" t="s">
        <v>210</v>
      </c>
      <c r="C91" s="56" t="s">
        <v>234</v>
      </c>
      <c r="D91" s="56" t="s">
        <v>497</v>
      </c>
      <c r="E91" s="56" t="s">
        <v>239</v>
      </c>
      <c r="F91" s="56" t="s">
        <v>240</v>
      </c>
      <c r="G91" s="56" t="s">
        <v>48</v>
      </c>
      <c r="H91" s="56">
        <v>2162</v>
      </c>
      <c r="I91" s="56">
        <v>8389</v>
      </c>
      <c r="J91" s="65">
        <v>6.7988744989207524</v>
      </c>
    </row>
    <row r="92" spans="1:10">
      <c r="A92" s="56" t="s">
        <v>209</v>
      </c>
      <c r="B92" s="56" t="s">
        <v>210</v>
      </c>
      <c r="C92" s="56" t="s">
        <v>241</v>
      </c>
      <c r="D92" s="56" t="s">
        <v>498</v>
      </c>
      <c r="E92" s="56" t="s">
        <v>242</v>
      </c>
      <c r="F92" s="56" t="s">
        <v>243</v>
      </c>
      <c r="G92" s="56" t="s">
        <v>55</v>
      </c>
      <c r="H92" s="56">
        <v>904</v>
      </c>
      <c r="I92" s="56">
        <v>5558</v>
      </c>
      <c r="J92" s="65">
        <v>6.6509955752212386</v>
      </c>
    </row>
    <row r="93" spans="1:10">
      <c r="A93" s="56" t="s">
        <v>209</v>
      </c>
      <c r="B93" s="56" t="s">
        <v>210</v>
      </c>
      <c r="C93" s="56" t="s">
        <v>241</v>
      </c>
      <c r="D93" s="56" t="s">
        <v>498</v>
      </c>
      <c r="E93" s="56" t="s">
        <v>244</v>
      </c>
      <c r="F93" s="56" t="s">
        <v>245</v>
      </c>
      <c r="G93" s="56" t="s">
        <v>48</v>
      </c>
      <c r="H93" s="56">
        <v>49</v>
      </c>
      <c r="I93" s="56">
        <v>16152</v>
      </c>
      <c r="J93" s="65">
        <v>7.3469387755102042</v>
      </c>
    </row>
    <row r="94" spans="1:10">
      <c r="A94" s="56" t="s">
        <v>209</v>
      </c>
      <c r="B94" s="56" t="s">
        <v>210</v>
      </c>
      <c r="C94" s="56" t="s">
        <v>246</v>
      </c>
      <c r="D94" s="56" t="s">
        <v>499</v>
      </c>
      <c r="E94" s="56" t="s">
        <v>247</v>
      </c>
      <c r="F94" s="56" t="s">
        <v>248</v>
      </c>
      <c r="G94" s="56" t="s">
        <v>55</v>
      </c>
      <c r="H94" s="56">
        <v>829</v>
      </c>
      <c r="I94" s="56">
        <v>9008</v>
      </c>
      <c r="J94" s="65">
        <v>7.3441897868918371</v>
      </c>
    </row>
    <row r="95" spans="1:10">
      <c r="A95" s="56" t="s">
        <v>209</v>
      </c>
      <c r="B95" s="56" t="s">
        <v>210</v>
      </c>
      <c r="C95" s="56" t="s">
        <v>249</v>
      </c>
      <c r="D95" s="56" t="s">
        <v>500</v>
      </c>
      <c r="E95" s="56" t="s">
        <v>250</v>
      </c>
      <c r="F95" s="56" t="s">
        <v>251</v>
      </c>
      <c r="G95" s="56" t="s">
        <v>88</v>
      </c>
      <c r="H95" s="56">
        <v>17</v>
      </c>
      <c r="I95" s="56">
        <v>1559</v>
      </c>
      <c r="J95" s="65">
        <v>5.6372549019607838</v>
      </c>
    </row>
    <row r="96" spans="1:10">
      <c r="A96" s="56" t="s">
        <v>209</v>
      </c>
      <c r="B96" s="56" t="s">
        <v>210</v>
      </c>
      <c r="C96" s="56" t="s">
        <v>249</v>
      </c>
      <c r="D96" s="56" t="s">
        <v>500</v>
      </c>
      <c r="E96" s="56" t="s">
        <v>252</v>
      </c>
      <c r="F96" s="56" t="s">
        <v>253</v>
      </c>
      <c r="G96" s="56" t="s">
        <v>72</v>
      </c>
      <c r="H96" s="56">
        <v>10</v>
      </c>
      <c r="I96" s="56">
        <v>1618</v>
      </c>
      <c r="J96" s="65">
        <v>5.5833333333333339</v>
      </c>
    </row>
    <row r="97" spans="1:10">
      <c r="A97" s="56" t="s">
        <v>209</v>
      </c>
      <c r="B97" s="56" t="s">
        <v>210</v>
      </c>
      <c r="C97" s="56" t="s">
        <v>249</v>
      </c>
      <c r="D97" s="56" t="s">
        <v>500</v>
      </c>
      <c r="E97" s="56" t="s">
        <v>254</v>
      </c>
      <c r="F97" s="56" t="s">
        <v>255</v>
      </c>
      <c r="G97" s="56" t="s">
        <v>48</v>
      </c>
      <c r="H97" s="56">
        <v>1193</v>
      </c>
      <c r="I97" s="56">
        <v>6873</v>
      </c>
      <c r="J97" s="65">
        <v>6.561190276613579</v>
      </c>
    </row>
    <row r="98" spans="1:10">
      <c r="A98" s="56" t="s">
        <v>209</v>
      </c>
      <c r="B98" s="56" t="s">
        <v>210</v>
      </c>
      <c r="C98" s="56" t="s">
        <v>256</v>
      </c>
      <c r="D98" s="56" t="s">
        <v>501</v>
      </c>
      <c r="E98" s="56" t="s">
        <v>257</v>
      </c>
      <c r="F98" s="56" t="s">
        <v>258</v>
      </c>
      <c r="G98" s="56" t="s">
        <v>48</v>
      </c>
      <c r="H98" s="56">
        <v>1244</v>
      </c>
      <c r="I98" s="56">
        <v>4791</v>
      </c>
      <c r="J98" s="65">
        <v>6.312968917470525</v>
      </c>
    </row>
    <row r="99" spans="1:10">
      <c r="A99" s="56" t="s">
        <v>209</v>
      </c>
      <c r="B99" s="56" t="s">
        <v>210</v>
      </c>
      <c r="C99" s="56" t="s">
        <v>256</v>
      </c>
      <c r="D99" s="56" t="s">
        <v>501</v>
      </c>
      <c r="E99" s="56" t="s">
        <v>259</v>
      </c>
      <c r="F99" s="56" t="s">
        <v>260</v>
      </c>
      <c r="G99" s="56" t="s">
        <v>48</v>
      </c>
      <c r="H99" s="56">
        <v>1215</v>
      </c>
      <c r="I99" s="56">
        <v>5584</v>
      </c>
      <c r="J99" s="65">
        <v>6.1632373113854593</v>
      </c>
    </row>
    <row r="100" spans="1:10">
      <c r="A100" s="56" t="s">
        <v>209</v>
      </c>
      <c r="B100" s="56" t="s">
        <v>210</v>
      </c>
      <c r="C100" s="56" t="s">
        <v>256</v>
      </c>
      <c r="D100" s="56" t="s">
        <v>501</v>
      </c>
      <c r="E100" s="56" t="s">
        <v>261</v>
      </c>
      <c r="F100" s="56" t="s">
        <v>262</v>
      </c>
      <c r="G100" s="56" t="s">
        <v>55</v>
      </c>
      <c r="H100" s="56">
        <v>1505</v>
      </c>
      <c r="I100" s="56">
        <v>4485</v>
      </c>
      <c r="J100" s="65">
        <v>7.3150609080841633</v>
      </c>
    </row>
    <row r="101" spans="1:10">
      <c r="A101" s="56" t="s">
        <v>209</v>
      </c>
      <c r="B101" s="56" t="s">
        <v>210</v>
      </c>
      <c r="C101" s="56" t="s">
        <v>263</v>
      </c>
      <c r="D101" s="56" t="s">
        <v>502</v>
      </c>
      <c r="E101" s="56" t="s">
        <v>264</v>
      </c>
      <c r="F101" s="56" t="s">
        <v>265</v>
      </c>
      <c r="G101" s="56" t="s">
        <v>178</v>
      </c>
      <c r="H101" s="56">
        <v>203</v>
      </c>
      <c r="I101" s="56">
        <v>3960</v>
      </c>
      <c r="J101" s="65">
        <v>5.6486042692939247</v>
      </c>
    </row>
    <row r="102" spans="1:10">
      <c r="A102" s="56" t="s">
        <v>209</v>
      </c>
      <c r="B102" s="56" t="s">
        <v>210</v>
      </c>
      <c r="C102" s="56" t="s">
        <v>263</v>
      </c>
      <c r="D102" s="56" t="s">
        <v>502</v>
      </c>
      <c r="E102" s="56" t="s">
        <v>266</v>
      </c>
      <c r="F102" s="56" t="s">
        <v>267</v>
      </c>
      <c r="G102" s="56" t="s">
        <v>48</v>
      </c>
      <c r="H102" s="56">
        <v>2407</v>
      </c>
      <c r="I102" s="56">
        <v>17419</v>
      </c>
      <c r="J102" s="65">
        <v>6.4918293865115642</v>
      </c>
    </row>
    <row r="103" spans="1:10">
      <c r="A103" s="56" t="s">
        <v>209</v>
      </c>
      <c r="B103" s="56" t="s">
        <v>210</v>
      </c>
      <c r="C103" s="56" t="s">
        <v>263</v>
      </c>
      <c r="D103" s="56" t="s">
        <v>502</v>
      </c>
      <c r="E103" s="56" t="s">
        <v>268</v>
      </c>
      <c r="F103" s="56" t="s">
        <v>269</v>
      </c>
      <c r="G103" s="56" t="s">
        <v>55</v>
      </c>
      <c r="H103" s="56">
        <v>717</v>
      </c>
      <c r="I103" s="56">
        <v>8875</v>
      </c>
      <c r="J103" s="65">
        <v>6.2982333798233379</v>
      </c>
    </row>
    <row r="104" spans="1:10">
      <c r="A104" s="56" t="s">
        <v>209</v>
      </c>
      <c r="B104" s="56" t="s">
        <v>210</v>
      </c>
      <c r="C104" s="56" t="s">
        <v>263</v>
      </c>
      <c r="D104" s="56" t="s">
        <v>502</v>
      </c>
      <c r="E104" s="56" t="s">
        <v>270</v>
      </c>
      <c r="F104" s="56" t="s">
        <v>271</v>
      </c>
      <c r="G104" s="56" t="s">
        <v>48</v>
      </c>
      <c r="H104" s="56">
        <v>1304</v>
      </c>
      <c r="I104" s="56">
        <v>5618</v>
      </c>
      <c r="J104" s="65">
        <v>6.906313905930471</v>
      </c>
    </row>
    <row r="105" spans="1:10">
      <c r="A105" s="56" t="s">
        <v>209</v>
      </c>
      <c r="B105" s="56" t="s">
        <v>210</v>
      </c>
      <c r="C105" s="56" t="s">
        <v>272</v>
      </c>
      <c r="D105" s="56" t="s">
        <v>503</v>
      </c>
      <c r="E105" s="56" t="s">
        <v>273</v>
      </c>
      <c r="F105" s="56" t="s">
        <v>274</v>
      </c>
      <c r="G105" s="56" t="s">
        <v>55</v>
      </c>
      <c r="H105" s="56">
        <v>316</v>
      </c>
      <c r="I105" s="56">
        <v>4438</v>
      </c>
      <c r="J105" s="65">
        <v>6.3633966244725739</v>
      </c>
    </row>
    <row r="106" spans="1:10">
      <c r="A106" s="56" t="s">
        <v>209</v>
      </c>
      <c r="B106" s="56" t="s">
        <v>210</v>
      </c>
      <c r="C106" s="56" t="s">
        <v>272</v>
      </c>
      <c r="D106" s="56" t="s">
        <v>503</v>
      </c>
      <c r="E106" s="56" t="s">
        <v>275</v>
      </c>
      <c r="F106" s="56" t="s">
        <v>276</v>
      </c>
      <c r="G106" s="56" t="s">
        <v>55</v>
      </c>
      <c r="H106" s="56">
        <v>508</v>
      </c>
      <c r="I106" s="56">
        <v>3621</v>
      </c>
      <c r="J106" s="65">
        <v>6.5075459317585302</v>
      </c>
    </row>
    <row r="107" spans="1:10">
      <c r="A107" s="56" t="s">
        <v>209</v>
      </c>
      <c r="B107" s="56" t="s">
        <v>210</v>
      </c>
      <c r="C107" s="56" t="s">
        <v>272</v>
      </c>
      <c r="D107" s="56" t="s">
        <v>503</v>
      </c>
      <c r="E107" s="56" t="s">
        <v>277</v>
      </c>
      <c r="F107" s="56" t="s">
        <v>278</v>
      </c>
      <c r="G107" s="56" t="s">
        <v>48</v>
      </c>
      <c r="H107" s="56">
        <v>61</v>
      </c>
      <c r="I107" s="56">
        <v>401</v>
      </c>
      <c r="J107" s="65">
        <v>6.9262295081967213</v>
      </c>
    </row>
    <row r="108" spans="1:10">
      <c r="A108" s="56" t="s">
        <v>209</v>
      </c>
      <c r="B108" s="56" t="s">
        <v>210</v>
      </c>
      <c r="C108" s="56" t="s">
        <v>272</v>
      </c>
      <c r="D108" s="56" t="s">
        <v>503</v>
      </c>
      <c r="E108" s="56" t="s">
        <v>279</v>
      </c>
      <c r="F108" s="56" t="s">
        <v>280</v>
      </c>
      <c r="G108" s="56" t="s">
        <v>48</v>
      </c>
      <c r="H108" s="56">
        <v>1554</v>
      </c>
      <c r="I108" s="56">
        <v>7301</v>
      </c>
      <c r="J108" s="65">
        <v>6.9020806520806524</v>
      </c>
    </row>
    <row r="109" spans="1:10">
      <c r="A109" s="56" t="s">
        <v>209</v>
      </c>
      <c r="B109" s="56" t="s">
        <v>210</v>
      </c>
      <c r="C109" s="56" t="s">
        <v>272</v>
      </c>
      <c r="D109" s="56" t="s">
        <v>503</v>
      </c>
      <c r="E109" s="56" t="s">
        <v>281</v>
      </c>
      <c r="F109" s="56" t="s">
        <v>282</v>
      </c>
      <c r="G109" s="56" t="s">
        <v>48</v>
      </c>
      <c r="H109" s="56">
        <v>360</v>
      </c>
      <c r="I109" s="56">
        <v>5467</v>
      </c>
      <c r="J109" s="65">
        <v>6.5370370370370372</v>
      </c>
    </row>
    <row r="110" spans="1:10">
      <c r="A110" s="56" t="s">
        <v>209</v>
      </c>
      <c r="B110" s="56" t="s">
        <v>210</v>
      </c>
      <c r="C110" s="56" t="s">
        <v>272</v>
      </c>
      <c r="D110" s="56" t="s">
        <v>503</v>
      </c>
      <c r="E110" s="56" t="s">
        <v>283</v>
      </c>
      <c r="F110" s="56" t="s">
        <v>284</v>
      </c>
      <c r="G110" s="56" t="s">
        <v>48</v>
      </c>
      <c r="H110" s="56">
        <v>204</v>
      </c>
      <c r="I110" s="56">
        <v>10270</v>
      </c>
      <c r="J110" s="65">
        <v>6.6013071895424842</v>
      </c>
    </row>
    <row r="111" spans="1:10">
      <c r="A111" s="56" t="s">
        <v>209</v>
      </c>
      <c r="B111" s="56" t="s">
        <v>210</v>
      </c>
      <c r="C111" s="56" t="s">
        <v>272</v>
      </c>
      <c r="D111" s="56" t="s">
        <v>503</v>
      </c>
      <c r="E111" s="56" t="s">
        <v>285</v>
      </c>
      <c r="F111" s="56" t="s">
        <v>286</v>
      </c>
      <c r="G111" s="56" t="s">
        <v>48</v>
      </c>
      <c r="H111" s="56">
        <v>853</v>
      </c>
      <c r="I111" s="56">
        <v>4595</v>
      </c>
      <c r="J111" s="65">
        <v>6.3569753810082066</v>
      </c>
    </row>
    <row r="112" spans="1:10">
      <c r="A112" s="56" t="s">
        <v>209</v>
      </c>
      <c r="B112" s="56" t="s">
        <v>210</v>
      </c>
      <c r="C112" s="56" t="s">
        <v>287</v>
      </c>
      <c r="D112" s="56" t="s">
        <v>504</v>
      </c>
      <c r="E112" s="56" t="s">
        <v>288</v>
      </c>
      <c r="F112" s="56" t="s">
        <v>289</v>
      </c>
      <c r="G112" s="56" t="s">
        <v>55</v>
      </c>
      <c r="H112" s="56">
        <v>176</v>
      </c>
      <c r="I112" s="56">
        <v>3972</v>
      </c>
      <c r="J112" s="65">
        <v>6.7566287878787881</v>
      </c>
    </row>
    <row r="113" spans="1:10">
      <c r="A113" s="56" t="s">
        <v>209</v>
      </c>
      <c r="B113" s="56" t="s">
        <v>210</v>
      </c>
      <c r="C113" s="56" t="s">
        <v>287</v>
      </c>
      <c r="D113" s="56" t="s">
        <v>504</v>
      </c>
      <c r="E113" s="56" t="s">
        <v>290</v>
      </c>
      <c r="F113" s="56" t="s">
        <v>291</v>
      </c>
      <c r="G113" s="56" t="s">
        <v>48</v>
      </c>
      <c r="H113" s="56">
        <v>318</v>
      </c>
      <c r="I113" s="56">
        <v>2659</v>
      </c>
      <c r="J113" s="65">
        <v>6.2578616352201255</v>
      </c>
    </row>
    <row r="114" spans="1:10">
      <c r="A114" s="56" t="s">
        <v>209</v>
      </c>
      <c r="B114" s="56" t="s">
        <v>210</v>
      </c>
      <c r="C114" s="56" t="s">
        <v>287</v>
      </c>
      <c r="D114" s="56" t="s">
        <v>504</v>
      </c>
      <c r="E114" s="56" t="s">
        <v>292</v>
      </c>
      <c r="F114" s="56" t="s">
        <v>293</v>
      </c>
      <c r="G114" s="56" t="s">
        <v>48</v>
      </c>
      <c r="H114" s="56">
        <v>222</v>
      </c>
      <c r="I114" s="56">
        <v>4891</v>
      </c>
      <c r="J114" s="65">
        <v>6.7530030030030037</v>
      </c>
    </row>
    <row r="115" spans="1:10">
      <c r="A115" s="56" t="s">
        <v>209</v>
      </c>
      <c r="B115" s="56" t="s">
        <v>210</v>
      </c>
      <c r="C115" s="56" t="s">
        <v>287</v>
      </c>
      <c r="D115" s="56" t="s">
        <v>504</v>
      </c>
      <c r="E115" s="56" t="s">
        <v>294</v>
      </c>
      <c r="F115" s="56" t="s">
        <v>295</v>
      </c>
      <c r="G115" s="56" t="s">
        <v>48</v>
      </c>
      <c r="H115" s="56">
        <v>77</v>
      </c>
      <c r="I115" s="56">
        <v>9237</v>
      </c>
      <c r="J115" s="65">
        <v>6.0930735930735933</v>
      </c>
    </row>
    <row r="116" spans="1:10">
      <c r="A116" s="56" t="s">
        <v>296</v>
      </c>
      <c r="B116" s="56" t="s">
        <v>297</v>
      </c>
      <c r="C116" s="56" t="s">
        <v>298</v>
      </c>
      <c r="D116" s="56" t="s">
        <v>505</v>
      </c>
      <c r="E116" s="56" t="s">
        <v>299</v>
      </c>
      <c r="F116" s="56" t="s">
        <v>300</v>
      </c>
      <c r="G116" s="56" t="s">
        <v>55</v>
      </c>
      <c r="H116" s="56">
        <v>449</v>
      </c>
      <c r="I116" s="56">
        <v>5894</v>
      </c>
      <c r="J116" s="65">
        <v>6.5404602821083886</v>
      </c>
    </row>
    <row r="117" spans="1:10">
      <c r="A117" s="56" t="s">
        <v>296</v>
      </c>
      <c r="B117" s="56" t="s">
        <v>297</v>
      </c>
      <c r="C117" s="56" t="s">
        <v>301</v>
      </c>
      <c r="D117" s="56" t="s">
        <v>506</v>
      </c>
      <c r="E117" s="56" t="s">
        <v>302</v>
      </c>
      <c r="F117" s="56" t="s">
        <v>303</v>
      </c>
      <c r="G117" s="56" t="s">
        <v>48</v>
      </c>
      <c r="H117" s="56">
        <v>162</v>
      </c>
      <c r="I117" s="56">
        <v>3805</v>
      </c>
      <c r="J117" s="65">
        <v>6.32201646090535</v>
      </c>
    </row>
    <row r="118" spans="1:10">
      <c r="A118" s="56" t="s">
        <v>296</v>
      </c>
      <c r="B118" s="56" t="s">
        <v>297</v>
      </c>
      <c r="C118" s="56" t="s">
        <v>304</v>
      </c>
      <c r="D118" s="56" t="s">
        <v>507</v>
      </c>
      <c r="E118" s="56" t="s">
        <v>305</v>
      </c>
      <c r="F118" s="56" t="s">
        <v>306</v>
      </c>
      <c r="G118" s="56" t="s">
        <v>48</v>
      </c>
      <c r="H118" s="56">
        <v>47</v>
      </c>
      <c r="I118" s="56">
        <v>11162</v>
      </c>
      <c r="J118" s="65">
        <v>5.8156028368794326</v>
      </c>
    </row>
    <row r="119" spans="1:10">
      <c r="A119" s="56" t="s">
        <v>296</v>
      </c>
      <c r="B119" s="56" t="s">
        <v>297</v>
      </c>
      <c r="C119" s="56" t="s">
        <v>304</v>
      </c>
      <c r="D119" s="56" t="s">
        <v>507</v>
      </c>
      <c r="E119" s="56" t="s">
        <v>307</v>
      </c>
      <c r="F119" s="56" t="s">
        <v>308</v>
      </c>
      <c r="G119" s="56" t="s">
        <v>48</v>
      </c>
      <c r="H119" s="56">
        <v>1330</v>
      </c>
      <c r="I119" s="56">
        <v>4779</v>
      </c>
      <c r="J119" s="65">
        <v>7.0294486215538843</v>
      </c>
    </row>
    <row r="120" spans="1:10">
      <c r="A120" s="56" t="s">
        <v>296</v>
      </c>
      <c r="B120" s="56" t="s">
        <v>297</v>
      </c>
      <c r="C120" s="56" t="s">
        <v>309</v>
      </c>
      <c r="D120" s="56" t="s">
        <v>508</v>
      </c>
      <c r="E120" s="56" t="s">
        <v>310</v>
      </c>
      <c r="F120" s="56" t="s">
        <v>311</v>
      </c>
      <c r="G120" s="56" t="s">
        <v>48</v>
      </c>
      <c r="H120" s="56">
        <v>120</v>
      </c>
      <c r="I120" s="56">
        <v>6324</v>
      </c>
      <c r="J120" s="65">
        <v>6.3611111111111116</v>
      </c>
    </row>
    <row r="121" spans="1:10">
      <c r="A121" s="56" t="s">
        <v>296</v>
      </c>
      <c r="B121" s="56" t="s">
        <v>297</v>
      </c>
      <c r="C121" s="56" t="s">
        <v>309</v>
      </c>
      <c r="D121" s="56" t="s">
        <v>508</v>
      </c>
      <c r="E121" s="56" t="s">
        <v>312</v>
      </c>
      <c r="F121" s="56" t="s">
        <v>313</v>
      </c>
      <c r="G121" s="56" t="s">
        <v>88</v>
      </c>
      <c r="H121" s="56">
        <v>117</v>
      </c>
      <c r="I121" s="56">
        <v>2680</v>
      </c>
      <c r="J121" s="65">
        <v>6.8874643874643882</v>
      </c>
    </row>
    <row r="122" spans="1:10">
      <c r="A122" s="56" t="s">
        <v>296</v>
      </c>
      <c r="B122" s="56" t="s">
        <v>297</v>
      </c>
      <c r="C122" s="56" t="s">
        <v>309</v>
      </c>
      <c r="D122" s="56" t="s">
        <v>508</v>
      </c>
      <c r="E122" s="56" t="s">
        <v>314</v>
      </c>
      <c r="F122" s="56" t="s">
        <v>315</v>
      </c>
      <c r="G122" s="56" t="s">
        <v>55</v>
      </c>
      <c r="H122" s="56">
        <v>648</v>
      </c>
      <c r="I122" s="56">
        <v>3659</v>
      </c>
      <c r="J122" s="65">
        <v>7.2543724279835384</v>
      </c>
    </row>
    <row r="123" spans="1:10">
      <c r="A123" s="56" t="s">
        <v>296</v>
      </c>
      <c r="B123" s="56" t="s">
        <v>297</v>
      </c>
      <c r="C123" s="56" t="s">
        <v>309</v>
      </c>
      <c r="D123" s="56" t="s">
        <v>508</v>
      </c>
      <c r="E123" s="56" t="s">
        <v>316</v>
      </c>
      <c r="F123" s="56" t="s">
        <v>317</v>
      </c>
      <c r="G123" s="56" t="s">
        <v>48</v>
      </c>
      <c r="H123" s="56">
        <v>267</v>
      </c>
      <c r="I123" s="56">
        <v>3739</v>
      </c>
      <c r="J123" s="65">
        <v>6.5699126092384521</v>
      </c>
    </row>
    <row r="124" spans="1:10">
      <c r="A124" s="56" t="s">
        <v>296</v>
      </c>
      <c r="B124" s="56" t="s">
        <v>297</v>
      </c>
      <c r="C124" s="56" t="s">
        <v>309</v>
      </c>
      <c r="D124" s="56" t="s">
        <v>508</v>
      </c>
      <c r="E124" s="56" t="s">
        <v>318</v>
      </c>
      <c r="F124" s="56" t="s">
        <v>319</v>
      </c>
      <c r="G124" s="56" t="s">
        <v>48</v>
      </c>
      <c r="H124" s="56">
        <v>645</v>
      </c>
      <c r="I124" s="56">
        <v>5221</v>
      </c>
      <c r="J124" s="65">
        <v>6.3901808785529717</v>
      </c>
    </row>
    <row r="125" spans="1:10">
      <c r="A125" s="56" t="s">
        <v>296</v>
      </c>
      <c r="B125" s="56" t="s">
        <v>297</v>
      </c>
      <c r="C125" s="56" t="s">
        <v>320</v>
      </c>
      <c r="D125" s="56" t="s">
        <v>509</v>
      </c>
      <c r="E125" s="56" t="s">
        <v>321</v>
      </c>
      <c r="F125" s="56" t="s">
        <v>322</v>
      </c>
      <c r="G125" s="56" t="s">
        <v>48</v>
      </c>
      <c r="H125" s="56">
        <v>186</v>
      </c>
      <c r="I125" s="56">
        <v>8926</v>
      </c>
      <c r="J125" s="65">
        <v>5.9632616487455206</v>
      </c>
    </row>
    <row r="126" spans="1:10">
      <c r="A126" s="56" t="s">
        <v>296</v>
      </c>
      <c r="B126" s="56" t="s">
        <v>297</v>
      </c>
      <c r="C126" s="56" t="s">
        <v>320</v>
      </c>
      <c r="D126" s="56" t="s">
        <v>509</v>
      </c>
      <c r="E126" s="56" t="s">
        <v>323</v>
      </c>
      <c r="F126" s="56" t="s">
        <v>324</v>
      </c>
      <c r="G126" s="56" t="s">
        <v>55</v>
      </c>
      <c r="H126" s="56">
        <v>1094</v>
      </c>
      <c r="I126" s="56">
        <v>4681</v>
      </c>
      <c r="J126" s="65">
        <v>6.8639549055453992</v>
      </c>
    </row>
    <row r="127" spans="1:10">
      <c r="A127" s="56" t="s">
        <v>296</v>
      </c>
      <c r="B127" s="56" t="s">
        <v>297</v>
      </c>
      <c r="C127" s="56" t="s">
        <v>320</v>
      </c>
      <c r="D127" s="56" t="s">
        <v>509</v>
      </c>
      <c r="E127" s="56" t="s">
        <v>325</v>
      </c>
      <c r="F127" s="56" t="s">
        <v>326</v>
      </c>
      <c r="G127" s="56" t="s">
        <v>88</v>
      </c>
      <c r="H127" s="56">
        <v>276</v>
      </c>
      <c r="I127" s="56">
        <v>2363</v>
      </c>
      <c r="J127" s="65">
        <v>7.095410628019323</v>
      </c>
    </row>
    <row r="128" spans="1:10">
      <c r="A128" s="56" t="s">
        <v>296</v>
      </c>
      <c r="B128" s="56" t="s">
        <v>297</v>
      </c>
      <c r="C128" s="56" t="s">
        <v>320</v>
      </c>
      <c r="D128" s="56" t="s">
        <v>509</v>
      </c>
      <c r="E128" s="56" t="s">
        <v>327</v>
      </c>
      <c r="F128" s="56" t="s">
        <v>328</v>
      </c>
      <c r="G128" s="56" t="s">
        <v>48</v>
      </c>
      <c r="H128" s="56">
        <v>406</v>
      </c>
      <c r="I128" s="56">
        <v>3741</v>
      </c>
      <c r="J128" s="65">
        <v>6.4265188834154348</v>
      </c>
    </row>
    <row r="129" spans="1:10">
      <c r="A129" s="56" t="s">
        <v>296</v>
      </c>
      <c r="B129" s="56" t="s">
        <v>297</v>
      </c>
      <c r="C129" s="56" t="s">
        <v>329</v>
      </c>
      <c r="D129" s="56" t="s">
        <v>510</v>
      </c>
      <c r="E129" s="56" t="s">
        <v>330</v>
      </c>
      <c r="F129" s="56" t="s">
        <v>331</v>
      </c>
      <c r="G129" s="56" t="s">
        <v>48</v>
      </c>
      <c r="H129" s="56">
        <v>3749</v>
      </c>
      <c r="I129" s="56">
        <v>11468</v>
      </c>
      <c r="J129" s="65">
        <v>6.8853916599982217</v>
      </c>
    </row>
    <row r="130" spans="1:10">
      <c r="A130" s="56" t="s">
        <v>296</v>
      </c>
      <c r="B130" s="56" t="s">
        <v>297</v>
      </c>
      <c r="C130" s="56" t="s">
        <v>329</v>
      </c>
      <c r="D130" s="56" t="s">
        <v>510</v>
      </c>
      <c r="E130" s="56" t="s">
        <v>332</v>
      </c>
      <c r="F130" s="56" t="s">
        <v>333</v>
      </c>
      <c r="G130" s="56" t="s">
        <v>55</v>
      </c>
      <c r="H130" s="56">
        <v>2275</v>
      </c>
      <c r="I130" s="56">
        <v>4368</v>
      </c>
      <c r="J130" s="65">
        <v>7.3318681318681316</v>
      </c>
    </row>
    <row r="131" spans="1:10">
      <c r="A131" s="56" t="s">
        <v>296</v>
      </c>
      <c r="B131" s="56" t="s">
        <v>297</v>
      </c>
      <c r="C131" s="56" t="s">
        <v>329</v>
      </c>
      <c r="D131" s="56" t="s">
        <v>510</v>
      </c>
      <c r="E131" s="56" t="s">
        <v>334</v>
      </c>
      <c r="F131" s="56" t="s">
        <v>335</v>
      </c>
      <c r="G131" s="56" t="s">
        <v>88</v>
      </c>
      <c r="H131" s="56">
        <v>89</v>
      </c>
      <c r="I131" s="56">
        <v>2775</v>
      </c>
      <c r="J131" s="65">
        <v>7.5</v>
      </c>
    </row>
    <row r="132" spans="1:10">
      <c r="A132" s="56" t="s">
        <v>296</v>
      </c>
      <c r="B132" s="56" t="s">
        <v>297</v>
      </c>
      <c r="C132" s="56" t="s">
        <v>329</v>
      </c>
      <c r="D132" s="56" t="s">
        <v>510</v>
      </c>
      <c r="E132" s="56" t="s">
        <v>336</v>
      </c>
      <c r="F132" s="56" t="s">
        <v>337</v>
      </c>
      <c r="G132" s="56" t="s">
        <v>178</v>
      </c>
      <c r="H132" s="56">
        <v>1120</v>
      </c>
      <c r="I132" s="56">
        <v>5575</v>
      </c>
      <c r="J132" s="65">
        <v>5.4709821428571432</v>
      </c>
    </row>
    <row r="133" spans="1:10">
      <c r="A133" s="56" t="s">
        <v>296</v>
      </c>
      <c r="B133" s="56" t="s">
        <v>297</v>
      </c>
      <c r="C133" s="56" t="s">
        <v>329</v>
      </c>
      <c r="D133" s="56" t="s">
        <v>510</v>
      </c>
      <c r="E133" s="56" t="s">
        <v>338</v>
      </c>
      <c r="F133" s="56" t="s">
        <v>339</v>
      </c>
      <c r="G133" s="56" t="s">
        <v>48</v>
      </c>
      <c r="H133" s="56">
        <v>359</v>
      </c>
      <c r="I133" s="56">
        <v>6935</v>
      </c>
      <c r="J133" s="65">
        <v>6.0492107706592382</v>
      </c>
    </row>
    <row r="134" spans="1:10">
      <c r="A134" s="56" t="s">
        <v>340</v>
      </c>
      <c r="B134" s="56" t="s">
        <v>341</v>
      </c>
      <c r="C134" s="56" t="s">
        <v>342</v>
      </c>
      <c r="D134" s="56" t="s">
        <v>511</v>
      </c>
      <c r="E134" s="56" t="s">
        <v>343</v>
      </c>
      <c r="F134" s="56" t="s">
        <v>344</v>
      </c>
      <c r="G134" s="56" t="s">
        <v>48</v>
      </c>
      <c r="H134" s="56">
        <v>265</v>
      </c>
      <c r="I134" s="56">
        <v>7856</v>
      </c>
      <c r="J134" s="65">
        <v>6.9150943396226419</v>
      </c>
    </row>
    <row r="135" spans="1:10">
      <c r="A135" s="56" t="s">
        <v>340</v>
      </c>
      <c r="B135" s="56" t="s">
        <v>341</v>
      </c>
      <c r="C135" s="56" t="s">
        <v>342</v>
      </c>
      <c r="D135" s="56" t="s">
        <v>511</v>
      </c>
      <c r="E135" s="56" t="s">
        <v>345</v>
      </c>
      <c r="F135" s="56" t="s">
        <v>346</v>
      </c>
      <c r="G135" s="56" t="s">
        <v>48</v>
      </c>
      <c r="H135" s="56">
        <v>27</v>
      </c>
      <c r="I135" s="56">
        <v>9614</v>
      </c>
      <c r="J135" s="65">
        <v>6.5740740740740744</v>
      </c>
    </row>
    <row r="136" spans="1:10">
      <c r="A136" s="56" t="s">
        <v>340</v>
      </c>
      <c r="B136" s="56" t="s">
        <v>341</v>
      </c>
      <c r="C136" s="56" t="s">
        <v>342</v>
      </c>
      <c r="D136" s="56" t="s">
        <v>511</v>
      </c>
      <c r="E136" s="56" t="s">
        <v>347</v>
      </c>
      <c r="F136" s="56" t="s">
        <v>348</v>
      </c>
      <c r="G136" s="56" t="s">
        <v>55</v>
      </c>
      <c r="H136" s="56">
        <v>1070</v>
      </c>
      <c r="I136" s="56">
        <v>7066</v>
      </c>
      <c r="J136" s="65">
        <v>7.064641744548287</v>
      </c>
    </row>
    <row r="137" spans="1:10">
      <c r="A137" s="56" t="s">
        <v>340</v>
      </c>
      <c r="B137" s="56" t="s">
        <v>341</v>
      </c>
      <c r="C137" s="56" t="s">
        <v>342</v>
      </c>
      <c r="D137" s="56" t="s">
        <v>511</v>
      </c>
      <c r="E137" s="56" t="s">
        <v>349</v>
      </c>
      <c r="F137" s="56" t="s">
        <v>350</v>
      </c>
      <c r="G137" s="56" t="s">
        <v>48</v>
      </c>
      <c r="H137" s="56">
        <v>1406</v>
      </c>
      <c r="I137" s="56">
        <v>9294</v>
      </c>
      <c r="J137" s="65">
        <v>6.9019677572309144</v>
      </c>
    </row>
    <row r="138" spans="1:10">
      <c r="A138" s="56" t="s">
        <v>340</v>
      </c>
      <c r="B138" s="56" t="s">
        <v>341</v>
      </c>
      <c r="C138" s="56" t="s">
        <v>342</v>
      </c>
      <c r="D138" s="56" t="s">
        <v>511</v>
      </c>
      <c r="E138" s="56" t="s">
        <v>351</v>
      </c>
      <c r="F138" s="56" t="s">
        <v>352</v>
      </c>
      <c r="G138" s="56" t="s">
        <v>48</v>
      </c>
      <c r="H138" s="56">
        <v>348</v>
      </c>
      <c r="I138" s="56">
        <v>7106</v>
      </c>
      <c r="J138" s="65">
        <v>6.5876436781609193</v>
      </c>
    </row>
    <row r="139" spans="1:10">
      <c r="A139" s="56" t="s">
        <v>340</v>
      </c>
      <c r="B139" s="56" t="s">
        <v>341</v>
      </c>
      <c r="C139" s="56" t="s">
        <v>353</v>
      </c>
      <c r="D139" s="56" t="s">
        <v>512</v>
      </c>
      <c r="E139" s="56" t="s">
        <v>354</v>
      </c>
      <c r="F139" s="56" t="s">
        <v>355</v>
      </c>
      <c r="G139" s="56" t="s">
        <v>48</v>
      </c>
      <c r="H139" s="56">
        <v>1200</v>
      </c>
      <c r="I139" s="56">
        <v>6357</v>
      </c>
      <c r="J139" s="65">
        <v>7.3270833333333334</v>
      </c>
    </row>
    <row r="140" spans="1:10">
      <c r="A140" s="56" t="s">
        <v>340</v>
      </c>
      <c r="B140" s="56" t="s">
        <v>341</v>
      </c>
      <c r="C140" s="56" t="s">
        <v>353</v>
      </c>
      <c r="D140" s="56" t="s">
        <v>512</v>
      </c>
      <c r="E140" s="56" t="s">
        <v>356</v>
      </c>
      <c r="F140" s="56" t="s">
        <v>357</v>
      </c>
      <c r="G140" s="56" t="s">
        <v>55</v>
      </c>
      <c r="H140" s="56">
        <v>1311</v>
      </c>
      <c r="I140" s="56">
        <v>6258</v>
      </c>
      <c r="J140" s="65">
        <v>6.8173150266971776</v>
      </c>
    </row>
    <row r="141" spans="1:10">
      <c r="A141" s="56" t="s">
        <v>340</v>
      </c>
      <c r="B141" s="56" t="s">
        <v>341</v>
      </c>
      <c r="C141" s="56" t="s">
        <v>353</v>
      </c>
      <c r="D141" s="56" t="s">
        <v>512</v>
      </c>
      <c r="E141" s="56" t="s">
        <v>358</v>
      </c>
      <c r="F141" s="56" t="s">
        <v>359</v>
      </c>
      <c r="G141" s="56" t="s">
        <v>48</v>
      </c>
      <c r="H141" s="56">
        <v>3639</v>
      </c>
      <c r="I141" s="56">
        <v>27674</v>
      </c>
      <c r="J141" s="65">
        <v>6.6897957314280481</v>
      </c>
    </row>
    <row r="142" spans="1:10">
      <c r="A142" s="56" t="s">
        <v>340</v>
      </c>
      <c r="B142" s="56" t="s">
        <v>341</v>
      </c>
      <c r="C142" s="56" t="s">
        <v>353</v>
      </c>
      <c r="D142" s="56" t="s">
        <v>512</v>
      </c>
      <c r="E142" s="56" t="s">
        <v>360</v>
      </c>
      <c r="F142" s="56" t="s">
        <v>361</v>
      </c>
      <c r="G142" s="56" t="s">
        <v>178</v>
      </c>
      <c r="H142" s="56">
        <v>855</v>
      </c>
      <c r="I142" s="56">
        <v>6686</v>
      </c>
      <c r="J142" s="65">
        <v>6.3908382066276808</v>
      </c>
    </row>
    <row r="143" spans="1:10">
      <c r="A143" s="56" t="s">
        <v>340</v>
      </c>
      <c r="B143" s="56" t="s">
        <v>341</v>
      </c>
      <c r="C143" s="56" t="s">
        <v>353</v>
      </c>
      <c r="D143" s="56" t="s">
        <v>512</v>
      </c>
      <c r="E143" s="56" t="s">
        <v>362</v>
      </c>
      <c r="F143" s="56" t="s">
        <v>363</v>
      </c>
      <c r="G143" s="56" t="s">
        <v>48</v>
      </c>
      <c r="H143" s="56">
        <v>2227</v>
      </c>
      <c r="I143" s="56">
        <v>19067</v>
      </c>
      <c r="J143" s="65">
        <v>6.1682382876814845</v>
      </c>
    </row>
    <row r="144" spans="1:10">
      <c r="A144" s="56" t="s">
        <v>340</v>
      </c>
      <c r="B144" s="56" t="s">
        <v>341</v>
      </c>
      <c r="C144" s="56" t="s">
        <v>353</v>
      </c>
      <c r="D144" s="56" t="s">
        <v>512</v>
      </c>
      <c r="E144" s="56" t="s">
        <v>364</v>
      </c>
      <c r="F144" s="56" t="s">
        <v>365</v>
      </c>
      <c r="G144" s="56" t="s">
        <v>55</v>
      </c>
      <c r="H144" s="56">
        <v>204</v>
      </c>
      <c r="I144" s="56">
        <v>3614</v>
      </c>
      <c r="J144" s="65">
        <v>6.4950980392156863</v>
      </c>
    </row>
    <row r="145" spans="1:10">
      <c r="A145" s="56" t="s">
        <v>340</v>
      </c>
      <c r="B145" s="56" t="s">
        <v>341</v>
      </c>
      <c r="C145" s="56" t="s">
        <v>353</v>
      </c>
      <c r="D145" s="56" t="s">
        <v>512</v>
      </c>
      <c r="E145" s="56" t="s">
        <v>366</v>
      </c>
      <c r="F145" s="56" t="s">
        <v>367</v>
      </c>
      <c r="G145" s="56" t="s">
        <v>48</v>
      </c>
      <c r="H145" s="56">
        <v>66</v>
      </c>
      <c r="I145" s="56">
        <v>4061</v>
      </c>
      <c r="J145" s="65">
        <v>6.5277777777777777</v>
      </c>
    </row>
    <row r="146" spans="1:10">
      <c r="A146" s="56" t="s">
        <v>340</v>
      </c>
      <c r="B146" s="56" t="s">
        <v>341</v>
      </c>
      <c r="C146" s="56" t="s">
        <v>353</v>
      </c>
      <c r="D146" s="56" t="s">
        <v>512</v>
      </c>
      <c r="E146" s="56" t="s">
        <v>368</v>
      </c>
      <c r="F146" s="56" t="s">
        <v>369</v>
      </c>
      <c r="G146" s="56" t="s">
        <v>72</v>
      </c>
      <c r="H146" s="56">
        <v>122</v>
      </c>
      <c r="I146" s="56">
        <v>3271</v>
      </c>
      <c r="J146" s="65">
        <v>6.0928961748633883</v>
      </c>
    </row>
    <row r="147" spans="1:10">
      <c r="A147" s="56" t="s">
        <v>340</v>
      </c>
      <c r="B147" s="56" t="s">
        <v>341</v>
      </c>
      <c r="C147" s="56" t="s">
        <v>353</v>
      </c>
      <c r="D147" s="56" t="s">
        <v>512</v>
      </c>
      <c r="E147" s="56" t="s">
        <v>370</v>
      </c>
      <c r="F147" s="56" t="s">
        <v>371</v>
      </c>
      <c r="G147" s="56" t="s">
        <v>48</v>
      </c>
      <c r="H147" s="56">
        <v>91</v>
      </c>
      <c r="I147" s="56">
        <v>6789</v>
      </c>
      <c r="J147" s="65">
        <v>6.8315018315018312</v>
      </c>
    </row>
    <row r="148" spans="1:10">
      <c r="A148" s="56" t="s">
        <v>340</v>
      </c>
      <c r="B148" s="56" t="s">
        <v>341</v>
      </c>
      <c r="C148" s="56" t="s">
        <v>372</v>
      </c>
      <c r="D148" s="56" t="s">
        <v>513</v>
      </c>
      <c r="E148" s="56" t="s">
        <v>373</v>
      </c>
      <c r="F148" s="56" t="s">
        <v>374</v>
      </c>
      <c r="G148" s="56" t="s">
        <v>48</v>
      </c>
      <c r="H148" s="56">
        <v>340</v>
      </c>
      <c r="I148" s="56">
        <v>4147</v>
      </c>
      <c r="J148" s="65">
        <v>6.8431372549019605</v>
      </c>
    </row>
    <row r="149" spans="1:10">
      <c r="A149" s="56" t="s">
        <v>340</v>
      </c>
      <c r="B149" s="56" t="s">
        <v>341</v>
      </c>
      <c r="C149" s="56" t="s">
        <v>372</v>
      </c>
      <c r="D149" s="56" t="s">
        <v>513</v>
      </c>
      <c r="E149" s="56" t="s">
        <v>375</v>
      </c>
      <c r="F149" s="56" t="s">
        <v>376</v>
      </c>
      <c r="G149" s="56" t="s">
        <v>88</v>
      </c>
      <c r="H149" s="56">
        <v>228</v>
      </c>
      <c r="I149" s="56">
        <v>1484</v>
      </c>
      <c r="J149" s="65">
        <v>6.7726608187134509</v>
      </c>
    </row>
    <row r="150" spans="1:10">
      <c r="A150" s="56" t="s">
        <v>340</v>
      </c>
      <c r="B150" s="56" t="s">
        <v>341</v>
      </c>
      <c r="C150" s="56" t="s">
        <v>372</v>
      </c>
      <c r="D150" s="56" t="s">
        <v>513</v>
      </c>
      <c r="E150" s="56" t="s">
        <v>377</v>
      </c>
      <c r="F150" s="56" t="s">
        <v>378</v>
      </c>
      <c r="G150" s="56" t="s">
        <v>55</v>
      </c>
      <c r="H150" s="56">
        <v>680</v>
      </c>
      <c r="I150" s="56">
        <v>4047</v>
      </c>
      <c r="J150" s="65">
        <v>7.2512254901960782</v>
      </c>
    </row>
    <row r="151" spans="1:10">
      <c r="A151" s="56" t="s">
        <v>340</v>
      </c>
      <c r="B151" s="56" t="s">
        <v>341</v>
      </c>
      <c r="C151" s="56" t="s">
        <v>372</v>
      </c>
      <c r="D151" s="56" t="s">
        <v>513</v>
      </c>
      <c r="E151" s="56" t="s">
        <v>379</v>
      </c>
      <c r="F151" s="56" t="s">
        <v>380</v>
      </c>
      <c r="G151" s="56" t="s">
        <v>48</v>
      </c>
      <c r="H151" s="56">
        <v>329</v>
      </c>
      <c r="I151" s="56">
        <v>4488</v>
      </c>
      <c r="J151" s="65">
        <v>5.9802431610942248</v>
      </c>
    </row>
    <row r="152" spans="1:10">
      <c r="A152" s="56" t="s">
        <v>340</v>
      </c>
      <c r="B152" s="56" t="s">
        <v>341</v>
      </c>
      <c r="C152" s="56" t="s">
        <v>372</v>
      </c>
      <c r="D152" s="56" t="s">
        <v>513</v>
      </c>
      <c r="E152" s="56" t="s">
        <v>381</v>
      </c>
      <c r="F152" s="56" t="s">
        <v>382</v>
      </c>
      <c r="G152" s="56" t="s">
        <v>48</v>
      </c>
      <c r="H152" s="56">
        <v>49</v>
      </c>
      <c r="I152" s="56">
        <v>2549</v>
      </c>
      <c r="J152" s="65">
        <v>6.6326530612244898</v>
      </c>
    </row>
    <row r="153" spans="1:10">
      <c r="A153" s="56" t="s">
        <v>340</v>
      </c>
      <c r="B153" s="56" t="s">
        <v>341</v>
      </c>
      <c r="C153" s="56" t="s">
        <v>372</v>
      </c>
      <c r="D153" s="56" t="s">
        <v>513</v>
      </c>
      <c r="E153" s="56" t="s">
        <v>383</v>
      </c>
      <c r="F153" s="56" t="s">
        <v>384</v>
      </c>
      <c r="G153" s="56" t="s">
        <v>72</v>
      </c>
      <c r="H153" s="56">
        <v>48</v>
      </c>
      <c r="I153" s="56">
        <v>1888</v>
      </c>
      <c r="J153" s="65">
        <v>7.1006944444444438</v>
      </c>
    </row>
    <row r="154" spans="1:10">
      <c r="A154" s="56" t="s">
        <v>340</v>
      </c>
      <c r="B154" s="56" t="s">
        <v>341</v>
      </c>
      <c r="C154" s="56" t="s">
        <v>372</v>
      </c>
      <c r="D154" s="56" t="s">
        <v>513</v>
      </c>
      <c r="E154" s="56" t="s">
        <v>385</v>
      </c>
      <c r="F154" s="56" t="s">
        <v>386</v>
      </c>
      <c r="G154" s="56" t="s">
        <v>48</v>
      </c>
      <c r="H154" s="56">
        <v>1684</v>
      </c>
      <c r="I154" s="56">
        <v>13593</v>
      </c>
      <c r="J154" s="65">
        <v>6.4954473475851149</v>
      </c>
    </row>
    <row r="155" spans="1:10">
      <c r="A155" s="56" t="s">
        <v>340</v>
      </c>
      <c r="B155" s="56" t="s">
        <v>341</v>
      </c>
      <c r="C155" s="56" t="s">
        <v>372</v>
      </c>
      <c r="D155" s="56" t="s">
        <v>513</v>
      </c>
      <c r="E155" s="56" t="s">
        <v>387</v>
      </c>
      <c r="F155" s="56" t="s">
        <v>388</v>
      </c>
      <c r="G155" s="56" t="s">
        <v>72</v>
      </c>
      <c r="H155" s="56">
        <v>207</v>
      </c>
      <c r="I155" s="56">
        <v>1598</v>
      </c>
      <c r="J155" s="65">
        <v>6.3607085346215788</v>
      </c>
    </row>
    <row r="156" spans="1:10">
      <c r="A156" s="56" t="s">
        <v>340</v>
      </c>
      <c r="B156" s="56" t="s">
        <v>341</v>
      </c>
      <c r="C156" s="56" t="s">
        <v>372</v>
      </c>
      <c r="D156" s="56" t="s">
        <v>513</v>
      </c>
      <c r="E156" s="56" t="s">
        <v>389</v>
      </c>
      <c r="F156" s="56" t="s">
        <v>390</v>
      </c>
      <c r="G156" s="56" t="s">
        <v>55</v>
      </c>
      <c r="H156" s="56">
        <v>2716</v>
      </c>
      <c r="I156" s="56">
        <v>10479</v>
      </c>
      <c r="J156" s="65">
        <v>7.26926853215513</v>
      </c>
    </row>
    <row r="157" spans="1:10">
      <c r="A157" s="56" t="s">
        <v>340</v>
      </c>
      <c r="B157" s="56" t="s">
        <v>341</v>
      </c>
      <c r="C157" s="56" t="s">
        <v>372</v>
      </c>
      <c r="D157" s="56" t="s">
        <v>513</v>
      </c>
      <c r="E157" s="56" t="s">
        <v>391</v>
      </c>
      <c r="F157" s="56" t="s">
        <v>392</v>
      </c>
      <c r="G157" s="56" t="s">
        <v>48</v>
      </c>
      <c r="H157" s="56">
        <v>337</v>
      </c>
      <c r="I157" s="56">
        <v>5119</v>
      </c>
      <c r="J157" s="65">
        <v>6.8694362017804158</v>
      </c>
    </row>
    <row r="158" spans="1:10">
      <c r="A158" s="56" t="s">
        <v>340</v>
      </c>
      <c r="B158" s="56" t="s">
        <v>341</v>
      </c>
      <c r="C158" s="56" t="s">
        <v>372</v>
      </c>
      <c r="D158" s="56" t="s">
        <v>513</v>
      </c>
      <c r="E158" s="56" t="s">
        <v>393</v>
      </c>
      <c r="F158" s="56" t="s">
        <v>394</v>
      </c>
      <c r="G158" s="56" t="s">
        <v>48</v>
      </c>
      <c r="H158" s="56">
        <v>247</v>
      </c>
      <c r="I158" s="56">
        <v>3339</v>
      </c>
      <c r="J158" s="65">
        <v>7.0276653171390011</v>
      </c>
    </row>
    <row r="159" spans="1:10">
      <c r="A159" s="56" t="s">
        <v>340</v>
      </c>
      <c r="B159" s="56" t="s">
        <v>341</v>
      </c>
      <c r="C159" s="56" t="s">
        <v>372</v>
      </c>
      <c r="D159" s="56" t="s">
        <v>513</v>
      </c>
      <c r="E159" s="56" t="s">
        <v>395</v>
      </c>
      <c r="F159" s="56" t="s">
        <v>396</v>
      </c>
      <c r="G159" s="56" t="s">
        <v>48</v>
      </c>
      <c r="H159" s="56">
        <v>241</v>
      </c>
      <c r="I159" s="56">
        <v>6818</v>
      </c>
      <c r="J159" s="65">
        <v>6.3485477178423233</v>
      </c>
    </row>
    <row r="160" spans="1:10">
      <c r="A160" s="56" t="s">
        <v>340</v>
      </c>
      <c r="B160" s="56" t="s">
        <v>341</v>
      </c>
      <c r="C160" s="56" t="s">
        <v>372</v>
      </c>
      <c r="D160" s="56" t="s">
        <v>513</v>
      </c>
      <c r="E160" s="56" t="s">
        <v>397</v>
      </c>
      <c r="F160" s="56" t="s">
        <v>398</v>
      </c>
      <c r="G160" s="56" t="s">
        <v>72</v>
      </c>
      <c r="H160" s="56">
        <v>393</v>
      </c>
      <c r="I160" s="56">
        <v>1629</v>
      </c>
      <c r="J160" s="65">
        <v>6.9486853265479223</v>
      </c>
    </row>
    <row r="161" spans="1:10">
      <c r="A161" s="56" t="s">
        <v>340</v>
      </c>
      <c r="B161" s="56" t="s">
        <v>341</v>
      </c>
      <c r="C161" s="56" t="s">
        <v>372</v>
      </c>
      <c r="D161" s="56" t="s">
        <v>513</v>
      </c>
      <c r="E161" s="56" t="s">
        <v>399</v>
      </c>
      <c r="F161" s="56" t="s">
        <v>400</v>
      </c>
      <c r="G161" s="56" t="s">
        <v>72</v>
      </c>
      <c r="H161" s="56">
        <v>84</v>
      </c>
      <c r="I161" s="56">
        <v>1515</v>
      </c>
      <c r="J161" s="65">
        <v>6.8452380952380949</v>
      </c>
    </row>
    <row r="162" spans="1:10">
      <c r="A162" s="56" t="s">
        <v>340</v>
      </c>
      <c r="B162" s="56" t="s">
        <v>341</v>
      </c>
      <c r="C162" s="56" t="s">
        <v>372</v>
      </c>
      <c r="D162" s="56" t="s">
        <v>513</v>
      </c>
      <c r="E162" s="56" t="s">
        <v>401</v>
      </c>
      <c r="F162" s="56" t="s">
        <v>402</v>
      </c>
      <c r="G162" s="56" t="s">
        <v>48</v>
      </c>
      <c r="H162" s="56">
        <v>65</v>
      </c>
      <c r="I162" s="56">
        <v>4380</v>
      </c>
      <c r="J162" s="65">
        <v>6.2564102564102564</v>
      </c>
    </row>
    <row r="163" spans="1:10">
      <c r="A163" s="56" t="s">
        <v>340</v>
      </c>
      <c r="B163" s="56" t="s">
        <v>341</v>
      </c>
      <c r="C163" s="56" t="s">
        <v>372</v>
      </c>
      <c r="D163" s="56" t="s">
        <v>513</v>
      </c>
      <c r="E163" s="56" t="s">
        <v>403</v>
      </c>
      <c r="F163" s="56" t="s">
        <v>404</v>
      </c>
      <c r="G163" s="56" t="s">
        <v>88</v>
      </c>
      <c r="H163" s="56">
        <v>199</v>
      </c>
      <c r="I163" s="56">
        <v>1904</v>
      </c>
      <c r="J163" s="65">
        <v>6.4112227805695134</v>
      </c>
    </row>
    <row r="164" spans="1:10">
      <c r="A164" s="56" t="s">
        <v>340</v>
      </c>
      <c r="B164" s="56" t="s">
        <v>341</v>
      </c>
      <c r="C164" s="56" t="s">
        <v>372</v>
      </c>
      <c r="D164" s="56" t="s">
        <v>513</v>
      </c>
      <c r="E164" s="56" t="s">
        <v>405</v>
      </c>
      <c r="F164" s="56" t="s">
        <v>406</v>
      </c>
      <c r="G164" s="56" t="s">
        <v>48</v>
      </c>
      <c r="H164" s="56">
        <v>28</v>
      </c>
      <c r="I164" s="56">
        <v>6619</v>
      </c>
      <c r="J164" s="65">
        <v>5.8035714285714288</v>
      </c>
    </row>
    <row r="165" spans="1:10">
      <c r="A165" s="56" t="s">
        <v>407</v>
      </c>
      <c r="B165" s="56" t="s">
        <v>408</v>
      </c>
      <c r="C165" s="56" t="s">
        <v>409</v>
      </c>
      <c r="D165" s="56" t="s">
        <v>514</v>
      </c>
      <c r="E165" s="56" t="s">
        <v>410</v>
      </c>
      <c r="F165" s="56" t="s">
        <v>411</v>
      </c>
      <c r="G165" s="56" t="s">
        <v>48</v>
      </c>
      <c r="H165" s="56">
        <v>341</v>
      </c>
      <c r="I165" s="56">
        <v>4083</v>
      </c>
      <c r="J165" s="65">
        <v>6.6520039100684265</v>
      </c>
    </row>
    <row r="166" spans="1:10">
      <c r="A166" s="56" t="s">
        <v>407</v>
      </c>
      <c r="B166" s="56" t="s">
        <v>408</v>
      </c>
      <c r="C166" s="56" t="s">
        <v>409</v>
      </c>
      <c r="D166" s="56" t="s">
        <v>514</v>
      </c>
      <c r="E166" s="56" t="s">
        <v>412</v>
      </c>
      <c r="F166" s="56" t="s">
        <v>413</v>
      </c>
      <c r="G166" s="56" t="s">
        <v>48</v>
      </c>
      <c r="H166" s="56">
        <v>495</v>
      </c>
      <c r="I166" s="56">
        <v>6583</v>
      </c>
      <c r="J166" s="65">
        <v>6.1885521885521886</v>
      </c>
    </row>
    <row r="167" spans="1:10">
      <c r="A167" s="56" t="s">
        <v>407</v>
      </c>
      <c r="B167" s="56" t="s">
        <v>408</v>
      </c>
      <c r="C167" s="56" t="s">
        <v>409</v>
      </c>
      <c r="D167" s="56" t="s">
        <v>514</v>
      </c>
      <c r="E167" s="56" t="s">
        <v>414</v>
      </c>
      <c r="F167" s="56" t="s">
        <v>415</v>
      </c>
      <c r="G167" s="56" t="s">
        <v>55</v>
      </c>
      <c r="H167" s="56">
        <v>127</v>
      </c>
      <c r="I167" s="56">
        <v>3572</v>
      </c>
      <c r="J167" s="65">
        <v>6.9422572178477688</v>
      </c>
    </row>
    <row r="168" spans="1:10">
      <c r="A168" s="56" t="s">
        <v>407</v>
      </c>
      <c r="B168" s="56" t="s">
        <v>408</v>
      </c>
      <c r="C168" s="56" t="s">
        <v>409</v>
      </c>
      <c r="D168" s="56" t="s">
        <v>514</v>
      </c>
      <c r="E168" s="56" t="s">
        <v>416</v>
      </c>
      <c r="F168" s="56" t="s">
        <v>417</v>
      </c>
      <c r="G168" s="56" t="s">
        <v>48</v>
      </c>
      <c r="H168" s="56">
        <v>119</v>
      </c>
      <c r="I168" s="56">
        <v>3724</v>
      </c>
      <c r="J168" s="65">
        <v>6.7366946778711485</v>
      </c>
    </row>
    <row r="169" spans="1:10">
      <c r="A169" s="56" t="s">
        <v>407</v>
      </c>
      <c r="B169" s="56" t="s">
        <v>408</v>
      </c>
      <c r="C169" s="56" t="s">
        <v>409</v>
      </c>
      <c r="D169" s="56" t="s">
        <v>514</v>
      </c>
      <c r="E169" s="56" t="s">
        <v>418</v>
      </c>
      <c r="F169" s="56" t="s">
        <v>419</v>
      </c>
      <c r="G169" s="56" t="s">
        <v>55</v>
      </c>
      <c r="H169" s="56">
        <v>190</v>
      </c>
      <c r="I169" s="56">
        <v>2529</v>
      </c>
      <c r="J169" s="65">
        <v>6.6140350877192988</v>
      </c>
    </row>
    <row r="170" spans="1:10">
      <c r="A170" s="56" t="s">
        <v>407</v>
      </c>
      <c r="B170" s="56" t="s">
        <v>408</v>
      </c>
      <c r="C170" s="56" t="s">
        <v>409</v>
      </c>
      <c r="D170" s="56" t="s">
        <v>514</v>
      </c>
      <c r="E170" s="56" t="s">
        <v>420</v>
      </c>
      <c r="F170" s="56" t="s">
        <v>421</v>
      </c>
      <c r="G170" s="56" t="s">
        <v>48</v>
      </c>
      <c r="H170" s="56">
        <v>809</v>
      </c>
      <c r="I170" s="56">
        <v>17279</v>
      </c>
      <c r="J170" s="65">
        <v>6.2793572311495671</v>
      </c>
    </row>
    <row r="171" spans="1:10">
      <c r="A171" s="56" t="s">
        <v>407</v>
      </c>
      <c r="B171" s="56" t="s">
        <v>408</v>
      </c>
      <c r="C171" s="56" t="s">
        <v>409</v>
      </c>
      <c r="D171" s="56" t="s">
        <v>514</v>
      </c>
      <c r="E171" s="56" t="s">
        <v>422</v>
      </c>
      <c r="F171" s="56" t="s">
        <v>423</v>
      </c>
      <c r="G171" s="56" t="s">
        <v>48</v>
      </c>
      <c r="H171" s="56">
        <v>613</v>
      </c>
      <c r="I171" s="56">
        <v>4700</v>
      </c>
      <c r="J171" s="65">
        <v>6.411092985318108</v>
      </c>
    </row>
    <row r="172" spans="1:10">
      <c r="A172" s="56" t="s">
        <v>407</v>
      </c>
      <c r="B172" s="56" t="s">
        <v>408</v>
      </c>
      <c r="C172" s="56" t="s">
        <v>424</v>
      </c>
      <c r="D172" s="56" t="s">
        <v>515</v>
      </c>
      <c r="E172" s="56" t="s">
        <v>425</v>
      </c>
      <c r="F172" s="56" t="s">
        <v>426</v>
      </c>
      <c r="G172" s="56" t="s">
        <v>48</v>
      </c>
      <c r="H172" s="56">
        <v>1080</v>
      </c>
      <c r="I172" s="56">
        <v>7667</v>
      </c>
      <c r="J172" s="65">
        <v>6.4961419753086416</v>
      </c>
    </row>
    <row r="173" spans="1:10">
      <c r="A173" s="56" t="s">
        <v>407</v>
      </c>
      <c r="B173" s="56" t="s">
        <v>408</v>
      </c>
      <c r="C173" s="56" t="s">
        <v>424</v>
      </c>
      <c r="D173" s="56" t="s">
        <v>515</v>
      </c>
      <c r="E173" s="56" t="s">
        <v>427</v>
      </c>
      <c r="F173" s="56" t="s">
        <v>428</v>
      </c>
      <c r="G173" s="56" t="s">
        <v>55</v>
      </c>
      <c r="H173" s="56">
        <v>341</v>
      </c>
      <c r="I173" s="56">
        <v>7475</v>
      </c>
      <c r="J173" s="65">
        <v>6.8523949169110452</v>
      </c>
    </row>
    <row r="174" spans="1:10">
      <c r="A174" s="56" t="s">
        <v>407</v>
      </c>
      <c r="B174" s="56" t="s">
        <v>408</v>
      </c>
      <c r="C174" s="56" t="s">
        <v>424</v>
      </c>
      <c r="D174" s="56" t="s">
        <v>515</v>
      </c>
      <c r="E174" s="56" t="s">
        <v>429</v>
      </c>
      <c r="F174" s="56" t="s">
        <v>430</v>
      </c>
      <c r="G174" s="56" t="s">
        <v>48</v>
      </c>
      <c r="H174" s="56">
        <v>85</v>
      </c>
      <c r="I174" s="56">
        <v>4937</v>
      </c>
      <c r="J174" s="65">
        <v>6.1372549019607838</v>
      </c>
    </row>
    <row r="175" spans="1:10">
      <c r="A175" s="56" t="s">
        <v>407</v>
      </c>
      <c r="B175" s="56" t="s">
        <v>408</v>
      </c>
      <c r="C175" s="56" t="s">
        <v>424</v>
      </c>
      <c r="D175" s="56" t="s">
        <v>515</v>
      </c>
      <c r="E175" s="56" t="s">
        <v>431</v>
      </c>
      <c r="F175" s="56" t="s">
        <v>432</v>
      </c>
      <c r="G175" s="56" t="s">
        <v>48</v>
      </c>
      <c r="H175" s="56">
        <v>16</v>
      </c>
      <c r="I175" s="56">
        <v>6701</v>
      </c>
      <c r="J175" s="65">
        <v>5.989583333333333</v>
      </c>
    </row>
    <row r="176" spans="1:10">
      <c r="A176" s="56" t="s">
        <v>407</v>
      </c>
      <c r="B176" s="56" t="s">
        <v>408</v>
      </c>
      <c r="C176" s="56" t="s">
        <v>424</v>
      </c>
      <c r="D176" s="56" t="s">
        <v>515</v>
      </c>
      <c r="E176" s="56" t="s">
        <v>433</v>
      </c>
      <c r="F176" s="56" t="s">
        <v>434</v>
      </c>
      <c r="G176" s="56" t="s">
        <v>178</v>
      </c>
      <c r="H176" s="56">
        <v>225</v>
      </c>
      <c r="I176" s="56">
        <v>2941</v>
      </c>
      <c r="J176" s="65">
        <v>5.4851851851851858</v>
      </c>
    </row>
    <row r="177" spans="1:10">
      <c r="A177" s="56" t="s">
        <v>407</v>
      </c>
      <c r="B177" s="56" t="s">
        <v>408</v>
      </c>
      <c r="C177" s="56" t="s">
        <v>424</v>
      </c>
      <c r="D177" s="56" t="s">
        <v>515</v>
      </c>
      <c r="E177" s="56" t="s">
        <v>435</v>
      </c>
      <c r="F177" s="56" t="s">
        <v>436</v>
      </c>
      <c r="G177" s="56" t="s">
        <v>48</v>
      </c>
      <c r="H177" s="56">
        <v>193</v>
      </c>
      <c r="I177" s="56">
        <v>5503</v>
      </c>
      <c r="J177" s="65">
        <v>6.3298791018998273</v>
      </c>
    </row>
    <row r="178" spans="1:10">
      <c r="A178" s="56" t="s">
        <v>407</v>
      </c>
      <c r="B178" s="56" t="s">
        <v>408</v>
      </c>
      <c r="C178" s="56" t="s">
        <v>424</v>
      </c>
      <c r="D178" s="56" t="s">
        <v>515</v>
      </c>
      <c r="E178" s="56" t="s">
        <v>437</v>
      </c>
      <c r="F178" s="56" t="s">
        <v>438</v>
      </c>
      <c r="G178" s="56" t="s">
        <v>48</v>
      </c>
      <c r="H178" s="56">
        <v>3844</v>
      </c>
      <c r="I178" s="56">
        <v>8414</v>
      </c>
      <c r="J178" s="65">
        <v>6.9144554283732225</v>
      </c>
    </row>
    <row r="179" spans="1:10">
      <c r="A179" s="56" t="s">
        <v>407</v>
      </c>
      <c r="B179" s="56" t="s">
        <v>408</v>
      </c>
      <c r="C179" s="56" t="s">
        <v>424</v>
      </c>
      <c r="D179" s="56" t="s">
        <v>515</v>
      </c>
      <c r="E179" s="56" t="s">
        <v>439</v>
      </c>
      <c r="F179" s="56" t="s">
        <v>440</v>
      </c>
      <c r="G179" s="56" t="s">
        <v>48</v>
      </c>
      <c r="H179" s="56">
        <v>10</v>
      </c>
      <c r="I179" s="56">
        <v>9570</v>
      </c>
      <c r="J179" s="65">
        <v>6.833333333333333</v>
      </c>
    </row>
    <row r="180" spans="1:10">
      <c r="A180" s="56" t="s">
        <v>407</v>
      </c>
      <c r="B180" s="56" t="s">
        <v>408</v>
      </c>
      <c r="C180" s="56" t="s">
        <v>424</v>
      </c>
      <c r="D180" s="56" t="s">
        <v>515</v>
      </c>
      <c r="E180" s="56" t="s">
        <v>441</v>
      </c>
      <c r="F180" s="56" t="s">
        <v>442</v>
      </c>
      <c r="G180" s="56" t="s">
        <v>48</v>
      </c>
      <c r="H180" s="56">
        <v>430</v>
      </c>
      <c r="I180" s="56">
        <v>8896</v>
      </c>
      <c r="J180" s="65">
        <v>6.4709302325581399</v>
      </c>
    </row>
    <row r="181" spans="1:10">
      <c r="A181" s="56" t="s">
        <v>407</v>
      </c>
      <c r="B181" s="56" t="s">
        <v>408</v>
      </c>
      <c r="C181" s="56" t="s">
        <v>424</v>
      </c>
      <c r="D181" s="56" t="s">
        <v>515</v>
      </c>
      <c r="E181" s="56" t="s">
        <v>443</v>
      </c>
      <c r="F181" s="56" t="s">
        <v>444</v>
      </c>
      <c r="G181" s="56" t="s">
        <v>55</v>
      </c>
      <c r="H181" s="56">
        <v>2080</v>
      </c>
      <c r="I181" s="56">
        <v>7604</v>
      </c>
      <c r="J181" s="65">
        <v>6.9463141025641031</v>
      </c>
    </row>
    <row r="182" spans="1:10">
      <c r="A182" s="56" t="s">
        <v>407</v>
      </c>
      <c r="B182" s="56" t="s">
        <v>408</v>
      </c>
      <c r="C182" s="56" t="s">
        <v>424</v>
      </c>
      <c r="D182" s="56" t="s">
        <v>515</v>
      </c>
      <c r="E182" s="56" t="s">
        <v>445</v>
      </c>
      <c r="F182" s="56" t="s">
        <v>446</v>
      </c>
      <c r="G182" s="56" t="s">
        <v>48</v>
      </c>
      <c r="H182" s="56">
        <v>535</v>
      </c>
      <c r="I182" s="56">
        <v>16274</v>
      </c>
      <c r="J182" s="65">
        <v>6.2445482866043616</v>
      </c>
    </row>
    <row r="183" spans="1:10">
      <c r="A183" s="56" t="s">
        <v>407</v>
      </c>
      <c r="B183" s="56" t="s">
        <v>408</v>
      </c>
      <c r="C183" s="56" t="s">
        <v>447</v>
      </c>
      <c r="D183" s="56" t="s">
        <v>516</v>
      </c>
      <c r="E183" s="56" t="s">
        <v>448</v>
      </c>
      <c r="F183" s="56" t="s">
        <v>449</v>
      </c>
      <c r="G183" s="56" t="s">
        <v>48</v>
      </c>
      <c r="H183" s="56">
        <v>1226</v>
      </c>
      <c r="I183" s="56">
        <v>4729</v>
      </c>
      <c r="J183" s="65">
        <v>7.2267536704730828</v>
      </c>
    </row>
    <row r="184" spans="1:10">
      <c r="A184" s="56" t="s">
        <v>407</v>
      </c>
      <c r="B184" s="56" t="s">
        <v>408</v>
      </c>
      <c r="C184" s="56" t="s">
        <v>447</v>
      </c>
      <c r="D184" s="56" t="s">
        <v>516</v>
      </c>
      <c r="E184" s="56" t="s">
        <v>450</v>
      </c>
      <c r="F184" s="56" t="s">
        <v>451</v>
      </c>
      <c r="G184" s="56" t="s">
        <v>48</v>
      </c>
      <c r="H184" s="56">
        <v>1494</v>
      </c>
      <c r="I184" s="56">
        <v>8825</v>
      </c>
      <c r="J184" s="65">
        <v>6.6527219991075413</v>
      </c>
    </row>
    <row r="185" spans="1:10">
      <c r="A185" s="56" t="s">
        <v>407</v>
      </c>
      <c r="B185" s="56" t="s">
        <v>408</v>
      </c>
      <c r="C185" s="56" t="s">
        <v>447</v>
      </c>
      <c r="D185" s="56" t="s">
        <v>516</v>
      </c>
      <c r="E185" s="56" t="s">
        <v>452</v>
      </c>
      <c r="F185" s="56" t="s">
        <v>453</v>
      </c>
      <c r="G185" s="56" t="s">
        <v>55</v>
      </c>
      <c r="H185" s="56">
        <v>591</v>
      </c>
      <c r="I185" s="56">
        <v>3062</v>
      </c>
      <c r="J185" s="65">
        <v>7.1728708403835313</v>
      </c>
    </row>
    <row r="186" spans="1:10">
      <c r="A186" s="56" t="s">
        <v>407</v>
      </c>
      <c r="B186" s="56" t="s">
        <v>408</v>
      </c>
      <c r="C186" s="56" t="s">
        <v>447</v>
      </c>
      <c r="D186" s="56" t="s">
        <v>516</v>
      </c>
      <c r="E186" s="56" t="s">
        <v>454</v>
      </c>
      <c r="F186" s="56" t="s">
        <v>455</v>
      </c>
      <c r="G186" s="56" t="s">
        <v>48</v>
      </c>
      <c r="H186" s="56">
        <v>318</v>
      </c>
      <c r="I186" s="56">
        <v>6514</v>
      </c>
      <c r="J186" s="65">
        <v>6.0980083857442349</v>
      </c>
    </row>
    <row r="187" spans="1:10">
      <c r="A187" s="56" t="s">
        <v>407</v>
      </c>
      <c r="B187" s="56" t="s">
        <v>408</v>
      </c>
      <c r="C187" s="56" t="s">
        <v>447</v>
      </c>
      <c r="D187" s="56" t="s">
        <v>516</v>
      </c>
      <c r="E187" s="56" t="s">
        <v>456</v>
      </c>
      <c r="F187" s="56" t="s">
        <v>457</v>
      </c>
      <c r="G187" s="56" t="s">
        <v>48</v>
      </c>
      <c r="H187" s="56">
        <v>155</v>
      </c>
      <c r="I187" s="56">
        <v>9445</v>
      </c>
      <c r="J187" s="65">
        <v>5.7526881720430101</v>
      </c>
    </row>
    <row r="188" spans="1:10">
      <c r="A188" s="56" t="s">
        <v>407</v>
      </c>
      <c r="B188" s="56" t="s">
        <v>408</v>
      </c>
      <c r="C188" s="56" t="s">
        <v>458</v>
      </c>
      <c r="D188" s="56" t="s">
        <v>517</v>
      </c>
      <c r="E188" s="56" t="s">
        <v>459</v>
      </c>
      <c r="F188" s="56" t="s">
        <v>460</v>
      </c>
      <c r="G188" s="56" t="s">
        <v>48</v>
      </c>
      <c r="H188" s="56">
        <v>163</v>
      </c>
      <c r="I188" s="56">
        <v>3486</v>
      </c>
      <c r="J188" s="65">
        <v>6.7382413087934552</v>
      </c>
    </row>
    <row r="189" spans="1:10">
      <c r="A189" s="56" t="s">
        <v>407</v>
      </c>
      <c r="B189" s="56" t="s">
        <v>408</v>
      </c>
      <c r="C189" s="56" t="s">
        <v>458</v>
      </c>
      <c r="D189" s="56" t="s">
        <v>517</v>
      </c>
      <c r="E189" s="56" t="s">
        <v>461</v>
      </c>
      <c r="F189" s="56" t="s">
        <v>462</v>
      </c>
      <c r="G189" s="56" t="s">
        <v>55</v>
      </c>
      <c r="H189" s="56">
        <v>401</v>
      </c>
      <c r="I189" s="56">
        <v>3247</v>
      </c>
      <c r="J189" s="65">
        <v>6.8848711554447215</v>
      </c>
    </row>
    <row r="190" spans="1:10">
      <c r="A190" s="56" t="s">
        <v>407</v>
      </c>
      <c r="B190" s="56" t="s">
        <v>408</v>
      </c>
      <c r="C190" s="56" t="s">
        <v>458</v>
      </c>
      <c r="D190" s="56" t="s">
        <v>517</v>
      </c>
      <c r="E190" s="56" t="s">
        <v>463</v>
      </c>
      <c r="F190" s="56" t="s">
        <v>464</v>
      </c>
      <c r="G190" s="56" t="s">
        <v>48</v>
      </c>
      <c r="H190" s="56">
        <v>164</v>
      </c>
      <c r="I190" s="56">
        <v>6226</v>
      </c>
      <c r="J190" s="65">
        <v>6.7022357723577244</v>
      </c>
    </row>
    <row r="191" spans="1:10">
      <c r="A191" s="56" t="s">
        <v>407</v>
      </c>
      <c r="B191" s="56" t="s">
        <v>408</v>
      </c>
      <c r="C191" s="56" t="s">
        <v>458</v>
      </c>
      <c r="D191" s="56" t="s">
        <v>517</v>
      </c>
      <c r="E191" s="56" t="s">
        <v>465</v>
      </c>
      <c r="F191" s="56" t="s">
        <v>466</v>
      </c>
      <c r="G191" s="56" t="s">
        <v>48</v>
      </c>
      <c r="H191" s="56">
        <v>236</v>
      </c>
      <c r="I191" s="56">
        <v>6344</v>
      </c>
      <c r="J191" s="65">
        <v>6.2605932203389827</v>
      </c>
    </row>
    <row r="192" spans="1:10">
      <c r="A192" s="56" t="s">
        <v>407</v>
      </c>
      <c r="B192" s="56" t="s">
        <v>408</v>
      </c>
      <c r="C192" s="56" t="s">
        <v>458</v>
      </c>
      <c r="D192" s="56" t="s">
        <v>517</v>
      </c>
      <c r="E192" s="56" t="s">
        <v>467</v>
      </c>
      <c r="F192" s="56" t="s">
        <v>468</v>
      </c>
      <c r="G192" s="56" t="s">
        <v>55</v>
      </c>
      <c r="H192" s="56">
        <v>132</v>
      </c>
      <c r="I192" s="56">
        <v>3088</v>
      </c>
      <c r="J192" s="65">
        <v>6.8055555555555562</v>
      </c>
    </row>
    <row r="193" spans="1:10">
      <c r="A193" s="56" t="s">
        <v>407</v>
      </c>
      <c r="B193" s="56" t="s">
        <v>408</v>
      </c>
      <c r="C193" s="56" t="s">
        <v>458</v>
      </c>
      <c r="D193" s="56" t="s">
        <v>517</v>
      </c>
      <c r="E193" s="56" t="s">
        <v>469</v>
      </c>
      <c r="F193" s="56" t="s">
        <v>470</v>
      </c>
      <c r="G193" s="56" t="s">
        <v>88</v>
      </c>
      <c r="H193" s="56">
        <v>935</v>
      </c>
      <c r="I193" s="56">
        <v>3146</v>
      </c>
      <c r="J193" s="65">
        <v>6.8039215686274517</v>
      </c>
    </row>
    <row r="194" spans="1:10">
      <c r="A194" s="56" t="s">
        <v>407</v>
      </c>
      <c r="B194" s="56" t="s">
        <v>408</v>
      </c>
      <c r="C194" s="56" t="s">
        <v>458</v>
      </c>
      <c r="D194" s="56" t="s">
        <v>517</v>
      </c>
      <c r="E194" s="56" t="s">
        <v>471</v>
      </c>
      <c r="F194" s="56" t="s">
        <v>472</v>
      </c>
      <c r="G194" s="56" t="s">
        <v>48</v>
      </c>
      <c r="H194" s="56">
        <v>1857</v>
      </c>
      <c r="I194" s="56">
        <v>8839</v>
      </c>
      <c r="J194" s="65">
        <v>6.9134805241428827</v>
      </c>
    </row>
    <row r="195" spans="1:10">
      <c r="A195" s="56" t="s">
        <v>407</v>
      </c>
      <c r="B195" s="56" t="s">
        <v>408</v>
      </c>
      <c r="C195" s="56" t="s">
        <v>458</v>
      </c>
      <c r="D195" s="56" t="s">
        <v>517</v>
      </c>
      <c r="E195" s="56" t="s">
        <v>473</v>
      </c>
      <c r="F195" s="56" t="s">
        <v>474</v>
      </c>
      <c r="G195" s="56" t="s">
        <v>55</v>
      </c>
      <c r="H195" s="56">
        <v>169</v>
      </c>
      <c r="I195" s="56">
        <v>4520</v>
      </c>
      <c r="J195" s="65">
        <v>7.4457593688362911</v>
      </c>
    </row>
    <row r="196" spans="1:10">
      <c r="A196" s="57" t="s">
        <v>407</v>
      </c>
      <c r="B196" s="57" t="s">
        <v>408</v>
      </c>
      <c r="C196" s="57" t="s">
        <v>458</v>
      </c>
      <c r="D196" s="57" t="s">
        <v>517</v>
      </c>
      <c r="E196" s="57" t="s">
        <v>475</v>
      </c>
      <c r="F196" s="57" t="s">
        <v>476</v>
      </c>
      <c r="G196" s="57" t="s">
        <v>178</v>
      </c>
      <c r="H196" s="57">
        <v>395</v>
      </c>
      <c r="I196" s="57">
        <v>5792</v>
      </c>
      <c r="J196" s="66">
        <v>5.9282700421940921</v>
      </c>
    </row>
  </sheetData>
  <mergeCells count="10">
    <mergeCell ref="A7:A8"/>
    <mergeCell ref="B7:B8"/>
    <mergeCell ref="C7:C8"/>
    <mergeCell ref="D7:D8"/>
    <mergeCell ref="E7:E8"/>
    <mergeCell ref="G7:G8"/>
    <mergeCell ref="H7:H8"/>
    <mergeCell ref="I7:I8"/>
    <mergeCell ref="J7:J8"/>
    <mergeCell ref="F7:F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Engagement">
              <controlPr defaultSize="0" autoFill="0" autoPict="0" macro="[0]!Engagement">
                <anchor>
                  <from>
                    <xdr:col>4</xdr:col>
                    <xdr:colOff>326445</xdr:colOff>
                    <xdr:row>1</xdr:row>
                    <xdr:rowOff>110374</xdr:rowOff>
                  </from>
                  <to>
                    <xdr:col>5</xdr:col>
                    <xdr:colOff>947720</xdr:colOff>
                    <xdr:row>2</xdr:row>
                    <xdr:rowOff>193678</xdr:rowOff>
                  </to>
                </anchor>
              </controlPr>
            </control>
          </mc:Choice>
        </mc:AlternateContent>
        <mc:AlternateContent xmlns:mc="http://schemas.openxmlformats.org/markup-compatibility/2006">
          <mc:Choice Requires="x14">
            <control shapeId="7170" r:id="rId5" name="Advocacy">
              <controlPr defaultSize="0" autoFill="0" autoPict="0" macro="[0]!Advocacy">
                <anchor>
                  <from>
                    <xdr:col>5</xdr:col>
                    <xdr:colOff>1080810</xdr:colOff>
                    <xdr:row>1</xdr:row>
                    <xdr:rowOff>110374</xdr:rowOff>
                  </from>
                  <to>
                    <xdr:col>5</xdr:col>
                    <xdr:colOff>2340260</xdr:colOff>
                    <xdr:row>2</xdr:row>
                    <xdr:rowOff>193678</xdr:rowOff>
                  </to>
                </anchor>
              </controlPr>
            </control>
          </mc:Choice>
        </mc:AlternateContent>
        <mc:AlternateContent xmlns:mc="http://schemas.openxmlformats.org/markup-compatibility/2006">
          <mc:Choice Requires="x14">
            <control shapeId="7171" r:id="rId6" name="Notes">
              <controlPr defaultSize="0" autoFill="0" autoPict="0" macro="[0]!Notes">
                <anchor>
                  <from>
                    <xdr:col>1</xdr:col>
                    <xdr:colOff>323372</xdr:colOff>
                    <xdr:row>1</xdr:row>
                    <xdr:rowOff>110374</xdr:rowOff>
                  </from>
                  <to>
                    <xdr:col>1</xdr:col>
                    <xdr:colOff>1582822</xdr:colOff>
                    <xdr:row>2</xdr:row>
                    <xdr:rowOff>193678</xdr:rowOff>
                  </to>
                </anchor>
              </controlPr>
            </control>
          </mc:Choice>
        </mc:AlternateContent>
        <mc:AlternateContent xmlns:mc="http://schemas.openxmlformats.org/markup-compatibility/2006">
          <mc:Choice Requires="x14">
            <control shapeId="7172" r:id="rId7" name="Summary">
              <controlPr defaultSize="0" autoFill="0" autoPict="0" macro="[0]!Summary">
                <anchor moveWithCells="1" sizeWithCells="1">
                  <from>
                    <xdr:col>1</xdr:col>
                    <xdr:colOff>1757892</xdr:colOff>
                    <xdr:row>1</xdr:row>
                    <xdr:rowOff>110374</xdr:rowOff>
                  </from>
                  <to>
                    <xdr:col>1</xdr:col>
                    <xdr:colOff>3017342</xdr:colOff>
                    <xdr:row>2</xdr:row>
                    <xdr:rowOff>193678</xdr:rowOff>
                  </to>
                </anchor>
              </controlPr>
            </control>
          </mc:Choice>
        </mc:AlternateContent>
        <mc:AlternateContent xmlns:mc="http://schemas.openxmlformats.org/markup-compatibility/2006">
          <mc:Choice Requires="x14">
            <control shapeId="7173" r:id="rId8" name="Involvement">
              <controlPr defaultSize="0" autoFill="0" autoPict="0" macro="[0]!Involvement">
                <anchor>
                  <from>
                    <xdr:col>5</xdr:col>
                    <xdr:colOff>2473351</xdr:colOff>
                    <xdr:row>1</xdr:row>
                    <xdr:rowOff>110374</xdr:rowOff>
                  </from>
                  <to>
                    <xdr:col>5</xdr:col>
                    <xdr:colOff>3732801</xdr:colOff>
                    <xdr:row>2</xdr:row>
                    <xdr:rowOff>193678</xdr:rowOff>
                  </to>
                </anchor>
              </controlPr>
            </control>
          </mc:Choice>
        </mc:AlternateContent>
        <mc:AlternateContent xmlns:mc="http://schemas.openxmlformats.org/markup-compatibility/2006">
          <mc:Choice Requires="x14">
            <control shapeId="7174" r:id="rId9" name="Motivation">
              <controlPr defaultSize="0" autoFill="0" autoPict="0" macro="[0]!Motivation">
                <anchor>
                  <from>
                    <xdr:col>5</xdr:col>
                    <xdr:colOff>3865892</xdr:colOff>
                    <xdr:row>1</xdr:row>
                    <xdr:rowOff>118630</xdr:rowOff>
                  </from>
                  <to>
                    <xdr:col>5</xdr:col>
                    <xdr:colOff>5125342</xdr:colOff>
                    <xdr:row>3</xdr:row>
                    <xdr:rowOff>1909</xdr:rowOff>
                  </to>
                </anchor>
              </controlPr>
            </control>
          </mc:Choice>
        </mc:AlternateContent>
        <mc:AlternateContent xmlns:mc="http://schemas.openxmlformats.org/markup-compatibility/2006">
          <mc:Choice Requires="x14">
            <control shapeId="7175" r:id="rId10" name="Breakdown">
              <controlPr defaultSize="0" autoFill="0" autoPict="0" macro="[0]!Breakdown">
                <anchor>
                  <from>
                    <xdr:col>3</xdr:col>
                    <xdr:colOff>1808565</xdr:colOff>
                    <xdr:row>1</xdr:row>
                    <xdr:rowOff>110374</xdr:rowOff>
                  </from>
                  <to>
                    <xdr:col>3</xdr:col>
                    <xdr:colOff>3068015</xdr:colOff>
                    <xdr:row>2</xdr:row>
                    <xdr:rowOff>193678</xdr:rowOff>
                  </to>
                </anchor>
              </controlPr>
            </control>
          </mc:Choice>
        </mc:AlternateContent>
        <mc:AlternateContent xmlns:mc="http://schemas.openxmlformats.org/markup-compatibility/2006">
          <mc:Choice Requires="x14">
            <control shapeId="7176" r:id="rId11" name="Scores">
              <controlPr defaultSize="0" autoFill="0" autoPict="0" macro="[1]!MacrosForWebfileForMalwina.Scores">
                <anchor>
                  <from>
                    <xdr:col>3</xdr:col>
                    <xdr:colOff>3201105</xdr:colOff>
                    <xdr:row>1</xdr:row>
                    <xdr:rowOff>110374</xdr:rowOff>
                  </from>
                  <to>
                    <xdr:col>4</xdr:col>
                    <xdr:colOff>193355</xdr:colOff>
                    <xdr:row>2</xdr:row>
                    <xdr:rowOff>193678</xdr:rowOff>
                  </to>
                </anchor>
              </controlPr>
            </control>
          </mc:Choice>
        </mc:AlternateContent>
        <mc:AlternateContent xmlns:mc="http://schemas.openxmlformats.org/markup-compatibility/2006">
          <mc:Choice Requires="x14">
            <control shapeId="7177" r:id="rId12" name="Region code">
              <controlPr defaultSize="0" autoLine="0" autoPict="0" macro="[0]!FilterListsRegionCode">
                <anchor>
                  <from>
                    <xdr:col>3</xdr:col>
                    <xdr:colOff>2955400</xdr:colOff>
                    <xdr:row>4</xdr:row>
                    <xdr:rowOff>114378</xdr:rowOff>
                  </from>
                  <to>
                    <xdr:col>3</xdr:col>
                    <xdr:colOff>3604672</xdr:colOff>
                    <xdr:row>4</xdr:row>
                    <xdr:rowOff>342931</xdr:rowOff>
                  </to>
                </anchor>
              </controlPr>
            </control>
          </mc:Choice>
        </mc:AlternateContent>
        <mc:AlternateContent xmlns:mc="http://schemas.openxmlformats.org/markup-compatibility/2006">
          <mc:Choice Requires="x14">
            <control shapeId="7178" r:id="rId13" name="Reset">
              <controlPr defaultSize="0" autoFill="0" autoPict="0" macro="[0]!Reset">
                <anchor>
                  <from>
                    <xdr:col>5</xdr:col>
                    <xdr:colOff>1875640</xdr:colOff>
                    <xdr:row>4</xdr:row>
                    <xdr:rowOff>114378</xdr:rowOff>
                  </from>
                  <to>
                    <xdr:col>5</xdr:col>
                    <xdr:colOff>2830452</xdr:colOff>
                    <xdr:row>4</xdr:row>
                    <xdr:rowOff>438161</xdr:rowOff>
                  </to>
                </anchor>
              </controlPr>
            </control>
          </mc:Choice>
        </mc:AlternateContent>
        <mc:AlternateContent xmlns:mc="http://schemas.openxmlformats.org/markup-compatibility/2006">
          <mc:Choice Requires="x14">
            <control shapeId="7179" r:id="rId14" name="Region name">
              <controlPr defaultSize="0" autoLine="0" autoPict="0" macro="[0]!FilterListsRegionName">
                <anchor>
                  <from>
                    <xdr:col>3</xdr:col>
                    <xdr:colOff>3652413</xdr:colOff>
                    <xdr:row>4</xdr:row>
                    <xdr:rowOff>114378</xdr:rowOff>
                  </from>
                  <to>
                    <xdr:col>5</xdr:col>
                    <xdr:colOff>1654972</xdr:colOff>
                    <xdr:row>4</xdr:row>
                    <xdr:rowOff>342931</xdr:rowOff>
                  </to>
                </anchor>
              </controlPr>
            </control>
          </mc:Choice>
        </mc:AlternateContent>
        <mc:AlternateContent xmlns:mc="http://schemas.openxmlformats.org/markup-compatibility/2006">
          <mc:Choice Requires="x14">
            <control shapeId="7180" r:id="rId15" name="STP Code">
              <controlPr defaultSize="0" autoLine="0" autoPict="0" macro="[0]!FilterListsSTPCode">
                <anchor>
                  <from>
                    <xdr:col>3</xdr:col>
                    <xdr:colOff>2955400</xdr:colOff>
                    <xdr:row>4</xdr:row>
                    <xdr:rowOff>390546</xdr:rowOff>
                  </from>
                  <to>
                    <xdr:col>3</xdr:col>
                    <xdr:colOff>3604672</xdr:colOff>
                    <xdr:row>4</xdr:row>
                    <xdr:rowOff>619099</xdr:rowOff>
                  </to>
                </anchor>
              </controlPr>
            </control>
          </mc:Choice>
        </mc:AlternateContent>
        <mc:AlternateContent xmlns:mc="http://schemas.openxmlformats.org/markup-compatibility/2006">
          <mc:Choice Requires="x14">
            <control shapeId="7181" r:id="rId16" name="STP Name">
              <controlPr defaultSize="0" autoLine="0" autoPict="0" macro="[0]!FilterListsSTPName">
                <anchor>
                  <from>
                    <xdr:col>3</xdr:col>
                    <xdr:colOff>3652413</xdr:colOff>
                    <xdr:row>4</xdr:row>
                    <xdr:rowOff>390546</xdr:rowOff>
                  </from>
                  <to>
                    <xdr:col>5</xdr:col>
                    <xdr:colOff>1654972</xdr:colOff>
                    <xdr:row>4</xdr:row>
                    <xdr:rowOff>619099</xdr:rowOff>
                  </to>
                </anchor>
              </controlPr>
            </control>
          </mc:Choice>
        </mc:AlternateContent>
        <mc:AlternateContent xmlns:mc="http://schemas.openxmlformats.org/markup-compatibility/2006">
          <mc:Choice Requires="x14">
            <control shapeId="7182" r:id="rId17" name="Org Code">
              <controlPr defaultSize="0" autoLine="0" autoPict="0" macro="[0]!FilterListsOrgCode">
                <anchor>
                  <from>
                    <xdr:col>3</xdr:col>
                    <xdr:colOff>2955400</xdr:colOff>
                    <xdr:row>4</xdr:row>
                    <xdr:rowOff>677295</xdr:rowOff>
                  </from>
                  <to>
                    <xdr:col>3</xdr:col>
                    <xdr:colOff>3604672</xdr:colOff>
                    <xdr:row>4</xdr:row>
                    <xdr:rowOff>905848</xdr:rowOff>
                  </to>
                </anchor>
              </controlPr>
            </control>
          </mc:Choice>
        </mc:AlternateContent>
        <mc:AlternateContent xmlns:mc="http://schemas.openxmlformats.org/markup-compatibility/2006">
          <mc:Choice Requires="x14">
            <control shapeId="7183" r:id="rId18" name="Org Name">
              <controlPr defaultSize="0" autoLine="0" autoPict="0" macro="[0]!FilterListsOrgName">
                <anchor>
                  <from>
                    <xdr:col>3</xdr:col>
                    <xdr:colOff>3652413</xdr:colOff>
                    <xdr:row>4</xdr:row>
                    <xdr:rowOff>677295</xdr:rowOff>
                  </from>
                  <to>
                    <xdr:col>5</xdr:col>
                    <xdr:colOff>1654972</xdr:colOff>
                    <xdr:row>4</xdr:row>
                    <xdr:rowOff>905848</xdr:rowOff>
                  </to>
                </anchor>
              </controlPr>
            </control>
          </mc:Choice>
        </mc:AlternateContent>
        <mc:AlternateContent xmlns:mc="http://schemas.openxmlformats.org/markup-compatibility/2006">
          <mc:Choice Requires="x14">
            <control shapeId="7184" r:id="rId19" name="Setting">
              <controlPr defaultSize="0" autoLine="0" autoPict="0" macro="[0]!FilterCareSetting">
                <anchor>
                  <from>
                    <xdr:col>3</xdr:col>
                    <xdr:colOff>2955400</xdr:colOff>
                    <xdr:row>4</xdr:row>
                    <xdr:rowOff>965102</xdr:rowOff>
                  </from>
                  <to>
                    <xdr:col>5</xdr:col>
                    <xdr:colOff>121967</xdr:colOff>
                    <xdr:row>4</xdr:row>
                    <xdr:rowOff>1203178</xdr:rowOff>
                  </to>
                </anchor>
              </controlPr>
            </control>
          </mc:Choice>
        </mc:AlternateContent>
        <mc:AlternateContent xmlns:mc="http://schemas.openxmlformats.org/markup-compatibility/2006">
          <mc:Choice Requires="x14">
            <control shapeId="7185" r:id="rId20" name="Drop Down Sort">
              <controlPr defaultSize="0" autoLine="0" autoPict="0">
                <anchor>
                  <from>
                    <xdr:col>1</xdr:col>
                    <xdr:colOff>1135142</xdr:colOff>
                    <xdr:row>4</xdr:row>
                    <xdr:rowOff>135542</xdr:rowOff>
                  </from>
                  <to>
                    <xdr:col>1</xdr:col>
                    <xdr:colOff>3082959</xdr:colOff>
                    <xdr:row>4</xdr:row>
                    <xdr:rowOff>383141</xdr:rowOff>
                  </to>
                </anchor>
              </controlPr>
            </control>
          </mc:Choice>
        </mc:AlternateContent>
        <mc:AlternateContent xmlns:mc="http://schemas.openxmlformats.org/markup-compatibility/2006">
          <mc:Choice Requires="x14">
            <control shapeId="7186" r:id="rId21" name="sort">
              <controlPr defaultSize="0" autoFill="0" autoPict="0" macro="[0]!_xludf.Sort">
                <anchor>
                  <from>
                    <xdr:col>1</xdr:col>
                    <xdr:colOff>3336513</xdr:colOff>
                    <xdr:row>4</xdr:row>
                    <xdr:rowOff>114377</xdr:rowOff>
                  </from>
                  <to>
                    <xdr:col>3</xdr:col>
                    <xdr:colOff>16699</xdr:colOff>
                    <xdr:row>4</xdr:row>
                    <xdr:rowOff>438160</xdr:rowOff>
                  </to>
                </anchor>
              </controlPr>
            </control>
          </mc:Choice>
        </mc:AlternateContent>
        <mc:AlternateContent xmlns:mc="http://schemas.openxmlformats.org/markup-compatibility/2006">
          <mc:Choice Requires="x14">
            <control shapeId="7187" r:id="rId22" name="Low">
              <controlPr defaultSize="0" autoFill="0" autoLine="0" autoPict="0">
                <anchor>
                  <from>
                    <xdr:col>1</xdr:col>
                    <xdr:colOff>915535</xdr:colOff>
                    <xdr:row>4</xdr:row>
                    <xdr:rowOff>449802</xdr:rowOff>
                  </from>
                  <to>
                    <xdr:col>1</xdr:col>
                    <xdr:colOff>2013569</xdr:colOff>
                    <xdr:row>4</xdr:row>
                    <xdr:rowOff>773585</xdr:rowOff>
                  </to>
                </anchor>
              </controlPr>
            </control>
          </mc:Choice>
        </mc:AlternateContent>
        <mc:AlternateContent xmlns:mc="http://schemas.openxmlformats.org/markup-compatibility/2006">
          <mc:Choice Requires="x14">
            <control shapeId="7188" r:id="rId23" name="High">
              <controlPr defaultSize="0" autoFill="0" autoLine="0" autoPict="0">
                <anchor>
                  <from>
                    <xdr:col>1</xdr:col>
                    <xdr:colOff>2147243</xdr:colOff>
                    <xdr:row>4</xdr:row>
                    <xdr:rowOff>468848</xdr:rowOff>
                  </from>
                  <to>
                    <xdr:col>1</xdr:col>
                    <xdr:colOff>3111603</xdr:colOff>
                    <xdr:row>4</xdr:row>
                    <xdr:rowOff>764062</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95408-8F5F-4F99-AE0E-B60CF47FFB27}">
  <sheetPr codeName="Sheet18">
    <tabColor theme="3" tint="0.59999389629810485"/>
  </sheetPr>
  <dimension ref="A1:AO188"/>
  <sheetViews>
    <sheetView workbookViewId="0">
      <selection activeCell="AH1" sqref="AH1:AJ188"/>
    </sheetView>
  </sheetViews>
  <sheetFormatPr defaultRowHeight="12.6"/>
  <cols>
    <col min="1" max="1" width="27.140625" bestFit="1" customWidth="1"/>
    <col min="2" max="2" width="4.42578125" bestFit="1" customWidth="1"/>
    <col min="3" max="3" width="22.42578125" bestFit="1" customWidth="1"/>
    <col min="4" max="4" width="23" bestFit="1" customWidth="1"/>
    <col min="5" max="5" width="8.5703125" bestFit="1" customWidth="1"/>
    <col min="11" max="11" width="9.5703125" bestFit="1" customWidth="1"/>
    <col min="12" max="12" width="17.42578125" customWidth="1"/>
    <col min="13" max="13" width="15.5703125" customWidth="1"/>
    <col min="14" max="14" width="32.140625" bestFit="1" customWidth="1"/>
    <col min="17" max="17" width="29.140625" bestFit="1" customWidth="1"/>
    <col min="18" max="18" width="9.42578125" customWidth="1"/>
    <col min="19" max="19" width="53.42578125" bestFit="1" customWidth="1"/>
    <col min="20" max="20" width="20.42578125" customWidth="1"/>
    <col min="21" max="21" width="8.5703125" customWidth="1"/>
    <col min="23" max="23" width="61.140625" bestFit="1" customWidth="1"/>
    <col min="24" max="24" width="14.85546875" bestFit="1" customWidth="1"/>
    <col min="26" max="26" width="61.140625" bestFit="1" customWidth="1"/>
    <col min="27" max="27" width="18.42578125" bestFit="1" customWidth="1"/>
    <col min="28" max="28" width="8.5703125" customWidth="1"/>
    <col min="31" max="31" width="85.5703125" bestFit="1" customWidth="1"/>
    <col min="32" max="32" width="11.85546875" bestFit="1" customWidth="1"/>
    <col min="33" max="33" width="15.42578125" bestFit="1" customWidth="1"/>
    <col min="35" max="35" width="85.5703125" bestFit="1" customWidth="1"/>
    <col min="36" max="36" width="11.85546875" bestFit="1" customWidth="1"/>
    <col min="37" max="37" width="22" bestFit="1" customWidth="1"/>
    <col min="38" max="38" width="12.42578125" bestFit="1" customWidth="1"/>
    <col min="40" max="40" width="19" bestFit="1" customWidth="1"/>
    <col min="41" max="41" width="11.85546875" bestFit="1" customWidth="1"/>
    <col min="42" max="42" width="27.42578125" customWidth="1"/>
  </cols>
  <sheetData>
    <row r="1" spans="1:41">
      <c r="A1" s="61"/>
      <c r="B1" s="61" t="s">
        <v>521</v>
      </c>
      <c r="C1" s="61" t="s">
        <v>522</v>
      </c>
      <c r="D1" s="61" t="s">
        <v>523</v>
      </c>
      <c r="E1" s="61" t="s">
        <v>524</v>
      </c>
      <c r="F1" s="61" t="s">
        <v>525</v>
      </c>
      <c r="G1" s="62" t="s">
        <v>34</v>
      </c>
      <c r="H1" s="62" t="s">
        <v>35</v>
      </c>
      <c r="I1" s="62" t="s">
        <v>526</v>
      </c>
      <c r="K1" s="62" t="s">
        <v>527</v>
      </c>
      <c r="L1" t="s">
        <v>528</v>
      </c>
      <c r="M1" t="s">
        <v>528</v>
      </c>
      <c r="N1" s="62" t="s">
        <v>529</v>
      </c>
      <c r="O1" t="s">
        <v>530</v>
      </c>
      <c r="P1" t="s">
        <v>531</v>
      </c>
      <c r="Q1" s="62" t="s">
        <v>532</v>
      </c>
      <c r="R1" t="s">
        <v>530</v>
      </c>
      <c r="S1" t="s">
        <v>531</v>
      </c>
      <c r="T1" s="62" t="s">
        <v>533</v>
      </c>
      <c r="U1" t="s">
        <v>530</v>
      </c>
      <c r="V1" t="s">
        <v>530</v>
      </c>
      <c r="W1" t="s">
        <v>531</v>
      </c>
      <c r="X1" s="62" t="s">
        <v>534</v>
      </c>
      <c r="Y1" t="s">
        <v>530</v>
      </c>
      <c r="Z1" t="s">
        <v>531</v>
      </c>
      <c r="AA1" s="62" t="s">
        <v>535</v>
      </c>
      <c r="AB1" t="s">
        <v>530</v>
      </c>
      <c r="AC1" t="s">
        <v>530</v>
      </c>
      <c r="AD1" t="s">
        <v>530</v>
      </c>
      <c r="AE1" t="s">
        <v>531</v>
      </c>
      <c r="AF1" t="s">
        <v>536</v>
      </c>
      <c r="AG1" s="62" t="s">
        <v>537</v>
      </c>
      <c r="AH1" t="s">
        <v>530</v>
      </c>
      <c r="AI1" t="s">
        <v>531</v>
      </c>
      <c r="AJ1" t="s">
        <v>536</v>
      </c>
      <c r="AK1" s="62" t="s">
        <v>538</v>
      </c>
      <c r="AL1" t="s">
        <v>536</v>
      </c>
      <c r="AN1" s="62" t="s">
        <v>539</v>
      </c>
      <c r="AO1" t="s">
        <v>536</v>
      </c>
    </row>
    <row r="2" spans="1:41">
      <c r="A2" s="63" t="s">
        <v>540</v>
      </c>
      <c r="B2" s="63">
        <v>1</v>
      </c>
      <c r="C2" s="63">
        <v>1</v>
      </c>
      <c r="D2" s="63">
        <v>1</v>
      </c>
      <c r="E2" s="63">
        <v>1</v>
      </c>
      <c r="F2" s="63">
        <v>1</v>
      </c>
      <c r="G2" s="63">
        <v>1</v>
      </c>
      <c r="H2" s="63">
        <v>1</v>
      </c>
      <c r="I2" s="63">
        <v>1</v>
      </c>
      <c r="L2" t="s">
        <v>32</v>
      </c>
      <c r="M2" t="s">
        <v>32</v>
      </c>
      <c r="O2" t="s">
        <v>43</v>
      </c>
      <c r="P2" t="s">
        <v>44</v>
      </c>
      <c r="R2" t="s">
        <v>43</v>
      </c>
      <c r="S2" t="s">
        <v>44</v>
      </c>
      <c r="U2" t="s">
        <v>209</v>
      </c>
      <c r="V2" t="s">
        <v>246</v>
      </c>
      <c r="W2" t="s">
        <v>499</v>
      </c>
      <c r="Y2" t="s">
        <v>342</v>
      </c>
      <c r="Z2" t="s">
        <v>511</v>
      </c>
      <c r="AB2" t="s">
        <v>43</v>
      </c>
      <c r="AC2" t="s">
        <v>56</v>
      </c>
      <c r="AD2" t="s">
        <v>57</v>
      </c>
      <c r="AE2" t="s">
        <v>58</v>
      </c>
      <c r="AF2" t="s">
        <v>48</v>
      </c>
      <c r="AH2" t="s">
        <v>358</v>
      </c>
      <c r="AI2" t="s">
        <v>460</v>
      </c>
      <c r="AJ2" t="s">
        <v>48</v>
      </c>
      <c r="AL2" t="s">
        <v>541</v>
      </c>
      <c r="AO2" t="s">
        <v>48</v>
      </c>
    </row>
    <row r="3" spans="1:41">
      <c r="A3" s="63" t="s">
        <v>542</v>
      </c>
      <c r="B3" s="63">
        <v>1</v>
      </c>
      <c r="C3" s="63">
        <v>1</v>
      </c>
      <c r="D3" s="63">
        <v>1</v>
      </c>
      <c r="E3" s="63">
        <v>1</v>
      </c>
      <c r="F3" s="63">
        <v>1</v>
      </c>
      <c r="G3" s="63">
        <v>1</v>
      </c>
      <c r="H3" s="63">
        <v>1</v>
      </c>
      <c r="I3" s="63">
        <v>1</v>
      </c>
      <c r="L3" t="s">
        <v>33</v>
      </c>
      <c r="M3" t="s">
        <v>33</v>
      </c>
      <c r="O3" t="s">
        <v>106</v>
      </c>
      <c r="P3" t="s">
        <v>107</v>
      </c>
      <c r="R3" t="s">
        <v>106</v>
      </c>
      <c r="S3" t="s">
        <v>107</v>
      </c>
      <c r="U3" t="s">
        <v>106</v>
      </c>
      <c r="V3" t="s">
        <v>134</v>
      </c>
      <c r="W3" t="s">
        <v>486</v>
      </c>
      <c r="Y3" t="s">
        <v>409</v>
      </c>
      <c r="Z3" t="s">
        <v>514</v>
      </c>
      <c r="AB3" t="s">
        <v>43</v>
      </c>
      <c r="AC3" t="s">
        <v>65</v>
      </c>
      <c r="AD3" t="s">
        <v>77</v>
      </c>
      <c r="AE3" t="s">
        <v>78</v>
      </c>
      <c r="AF3" t="s">
        <v>48</v>
      </c>
      <c r="AH3" t="s">
        <v>441</v>
      </c>
      <c r="AI3" t="s">
        <v>374</v>
      </c>
      <c r="AJ3" t="s">
        <v>48</v>
      </c>
      <c r="AL3" t="s">
        <v>543</v>
      </c>
      <c r="AO3" t="s">
        <v>72</v>
      </c>
    </row>
    <row r="4" spans="1:41">
      <c r="A4" s="63" t="s">
        <v>41</v>
      </c>
      <c r="B4" s="63">
        <v>1</v>
      </c>
      <c r="C4" s="63">
        <v>1</v>
      </c>
      <c r="D4" s="63">
        <v>1</v>
      </c>
      <c r="E4" s="63">
        <v>1</v>
      </c>
      <c r="F4" s="63">
        <v>1</v>
      </c>
      <c r="G4" s="63">
        <v>1</v>
      </c>
      <c r="H4" s="63">
        <v>1</v>
      </c>
      <c r="I4" s="63">
        <v>1</v>
      </c>
      <c r="L4" t="s">
        <v>34</v>
      </c>
      <c r="M4" t="s">
        <v>34</v>
      </c>
      <c r="O4" t="s">
        <v>151</v>
      </c>
      <c r="P4" t="s">
        <v>152</v>
      </c>
      <c r="R4" t="s">
        <v>151</v>
      </c>
      <c r="S4" t="s">
        <v>152</v>
      </c>
      <c r="U4" t="s">
        <v>296</v>
      </c>
      <c r="V4" t="s">
        <v>301</v>
      </c>
      <c r="W4" t="s">
        <v>506</v>
      </c>
      <c r="Y4" t="s">
        <v>211</v>
      </c>
      <c r="Z4" t="s">
        <v>494</v>
      </c>
      <c r="AB4" t="s">
        <v>43</v>
      </c>
      <c r="AC4" t="s">
        <v>85</v>
      </c>
      <c r="AD4" t="s">
        <v>91</v>
      </c>
      <c r="AE4" t="s">
        <v>92</v>
      </c>
      <c r="AF4" t="s">
        <v>72</v>
      </c>
      <c r="AH4" t="s">
        <v>149</v>
      </c>
      <c r="AI4" t="s">
        <v>119</v>
      </c>
      <c r="AJ4" t="s">
        <v>48</v>
      </c>
      <c r="AL4" t="s">
        <v>544</v>
      </c>
      <c r="AO4" t="s">
        <v>55</v>
      </c>
    </row>
    <row r="5" spans="1:41">
      <c r="A5" s="63" t="s">
        <v>20</v>
      </c>
      <c r="B5" s="63">
        <v>1</v>
      </c>
      <c r="C5" s="63">
        <v>1</v>
      </c>
      <c r="D5" s="63">
        <v>1</v>
      </c>
      <c r="E5" s="63">
        <v>1</v>
      </c>
      <c r="F5" s="63">
        <v>1</v>
      </c>
      <c r="G5" s="63">
        <v>1</v>
      </c>
      <c r="H5" s="63">
        <v>1</v>
      </c>
      <c r="I5" s="63">
        <v>1</v>
      </c>
      <c r="L5" t="s">
        <v>35</v>
      </c>
      <c r="M5" t="s">
        <v>35</v>
      </c>
      <c r="O5" t="s">
        <v>209</v>
      </c>
      <c r="P5" t="s">
        <v>210</v>
      </c>
      <c r="R5" t="s">
        <v>209</v>
      </c>
      <c r="S5" t="s">
        <v>210</v>
      </c>
      <c r="U5" t="s">
        <v>296</v>
      </c>
      <c r="V5" t="s">
        <v>298</v>
      </c>
      <c r="W5" t="s">
        <v>505</v>
      </c>
      <c r="Y5" t="s">
        <v>298</v>
      </c>
      <c r="Z5" t="s">
        <v>505</v>
      </c>
      <c r="AB5" t="s">
        <v>43</v>
      </c>
      <c r="AC5" t="s">
        <v>65</v>
      </c>
      <c r="AD5" t="s">
        <v>75</v>
      </c>
      <c r="AE5" t="s">
        <v>76</v>
      </c>
      <c r="AF5" t="s">
        <v>48</v>
      </c>
      <c r="AH5" t="s">
        <v>212</v>
      </c>
      <c r="AI5" t="s">
        <v>67</v>
      </c>
      <c r="AJ5" t="s">
        <v>48</v>
      </c>
      <c r="AL5" t="s">
        <v>545</v>
      </c>
      <c r="AO5" t="s">
        <v>88</v>
      </c>
    </row>
    <row r="6" spans="1:41">
      <c r="A6" s="63" t="s">
        <v>26</v>
      </c>
      <c r="B6" s="63">
        <v>1</v>
      </c>
      <c r="C6" s="63">
        <v>1</v>
      </c>
      <c r="D6" s="63">
        <v>1</v>
      </c>
      <c r="E6" s="63">
        <v>1</v>
      </c>
      <c r="F6" s="63">
        <v>1</v>
      </c>
      <c r="G6" s="63">
        <v>1</v>
      </c>
      <c r="H6" s="63">
        <v>1</v>
      </c>
      <c r="I6" s="63">
        <v>1</v>
      </c>
      <c r="L6" t="s">
        <v>36</v>
      </c>
      <c r="M6" t="s">
        <v>36</v>
      </c>
      <c r="O6" t="s">
        <v>296</v>
      </c>
      <c r="P6" t="s">
        <v>297</v>
      </c>
      <c r="R6" t="s">
        <v>296</v>
      </c>
      <c r="S6" t="s">
        <v>297</v>
      </c>
      <c r="U6" t="s">
        <v>106</v>
      </c>
      <c r="V6" t="s">
        <v>139</v>
      </c>
      <c r="W6" t="s">
        <v>487</v>
      </c>
      <c r="Y6" t="s">
        <v>301</v>
      </c>
      <c r="Z6" t="s">
        <v>506</v>
      </c>
      <c r="AB6" t="s">
        <v>43</v>
      </c>
      <c r="AC6" t="s">
        <v>85</v>
      </c>
      <c r="AD6" t="s">
        <v>93</v>
      </c>
      <c r="AE6" t="s">
        <v>94</v>
      </c>
      <c r="AF6" t="s">
        <v>48</v>
      </c>
      <c r="AH6" t="s">
        <v>192</v>
      </c>
      <c r="AI6" t="s">
        <v>411</v>
      </c>
      <c r="AJ6" t="s">
        <v>48</v>
      </c>
      <c r="AO6" t="s">
        <v>178</v>
      </c>
    </row>
    <row r="7" spans="1:41">
      <c r="A7" s="63" t="s">
        <v>14</v>
      </c>
      <c r="B7" s="63">
        <v>1</v>
      </c>
      <c r="C7" s="63">
        <v>1</v>
      </c>
      <c r="D7" s="63">
        <v>1</v>
      </c>
      <c r="E7" s="63">
        <v>1</v>
      </c>
      <c r="F7" s="63">
        <v>1</v>
      </c>
      <c r="G7" s="63">
        <v>1</v>
      </c>
      <c r="H7" s="63">
        <v>1</v>
      </c>
      <c r="I7" s="63">
        <v>1</v>
      </c>
      <c r="L7" t="s">
        <v>37</v>
      </c>
      <c r="M7" t="s">
        <v>37</v>
      </c>
      <c r="O7" t="s">
        <v>340</v>
      </c>
      <c r="P7" t="s">
        <v>341</v>
      </c>
      <c r="R7" t="s">
        <v>340</v>
      </c>
      <c r="S7" t="s">
        <v>341</v>
      </c>
      <c r="U7" t="s">
        <v>106</v>
      </c>
      <c r="V7" t="s">
        <v>124</v>
      </c>
      <c r="W7" t="s">
        <v>484</v>
      </c>
      <c r="Y7" t="s">
        <v>218</v>
      </c>
      <c r="Z7" t="s">
        <v>495</v>
      </c>
      <c r="AB7" t="s">
        <v>43</v>
      </c>
      <c r="AC7" t="s">
        <v>56</v>
      </c>
      <c r="AD7" t="s">
        <v>63</v>
      </c>
      <c r="AE7" t="s">
        <v>64</v>
      </c>
      <c r="AF7" t="s">
        <v>55</v>
      </c>
      <c r="AH7" t="s">
        <v>250</v>
      </c>
      <c r="AI7" t="s">
        <v>58</v>
      </c>
      <c r="AJ7" t="s">
        <v>48</v>
      </c>
    </row>
    <row r="8" spans="1:41">
      <c r="L8" t="s">
        <v>526</v>
      </c>
      <c r="M8" t="s">
        <v>526</v>
      </c>
      <c r="O8" t="s">
        <v>407</v>
      </c>
      <c r="P8" t="s">
        <v>408</v>
      </c>
      <c r="R8" t="s">
        <v>407</v>
      </c>
      <c r="S8" t="s">
        <v>408</v>
      </c>
      <c r="U8" t="s">
        <v>209</v>
      </c>
      <c r="V8" t="s">
        <v>249</v>
      </c>
      <c r="W8" t="s">
        <v>500</v>
      </c>
      <c r="Y8" t="s">
        <v>424</v>
      </c>
      <c r="Z8" t="s">
        <v>515</v>
      </c>
      <c r="AB8" t="s">
        <v>43</v>
      </c>
      <c r="AC8" t="s">
        <v>45</v>
      </c>
      <c r="AD8" t="s">
        <v>46</v>
      </c>
      <c r="AE8" t="s">
        <v>47</v>
      </c>
      <c r="AF8" t="s">
        <v>48</v>
      </c>
      <c r="AH8" t="s">
        <v>188</v>
      </c>
      <c r="AI8" t="s">
        <v>168</v>
      </c>
      <c r="AJ8" t="s">
        <v>48</v>
      </c>
    </row>
    <row r="9" spans="1:41">
      <c r="L9" t="s">
        <v>39</v>
      </c>
      <c r="M9" t="s">
        <v>39</v>
      </c>
      <c r="U9" t="s">
        <v>106</v>
      </c>
      <c r="V9" t="s">
        <v>129</v>
      </c>
      <c r="W9" t="s">
        <v>485</v>
      </c>
      <c r="Y9" t="s">
        <v>225</v>
      </c>
      <c r="Z9" t="s">
        <v>496</v>
      </c>
      <c r="AB9" t="s">
        <v>43</v>
      </c>
      <c r="AC9" t="s">
        <v>45</v>
      </c>
      <c r="AD9" t="s">
        <v>51</v>
      </c>
      <c r="AE9" t="s">
        <v>52</v>
      </c>
      <c r="AF9" t="s">
        <v>48</v>
      </c>
      <c r="AH9" t="s">
        <v>57</v>
      </c>
      <c r="AI9" t="s">
        <v>274</v>
      </c>
      <c r="AJ9" t="s">
        <v>48</v>
      </c>
    </row>
    <row r="10" spans="1:41">
      <c r="L10" t="s">
        <v>40</v>
      </c>
      <c r="M10" t="s">
        <v>40</v>
      </c>
      <c r="U10" t="s">
        <v>209</v>
      </c>
      <c r="V10" t="s">
        <v>211</v>
      </c>
      <c r="W10" t="s">
        <v>494</v>
      </c>
      <c r="Y10" t="s">
        <v>304</v>
      </c>
      <c r="Z10" t="s">
        <v>507</v>
      </c>
      <c r="AB10" t="s">
        <v>43</v>
      </c>
      <c r="AC10" t="s">
        <v>97</v>
      </c>
      <c r="AD10" t="s">
        <v>104</v>
      </c>
      <c r="AE10" t="s">
        <v>105</v>
      </c>
      <c r="AF10" t="s">
        <v>48</v>
      </c>
      <c r="AH10" t="s">
        <v>299</v>
      </c>
      <c r="AI10" t="s">
        <v>220</v>
      </c>
      <c r="AJ10" t="s">
        <v>48</v>
      </c>
    </row>
    <row r="11" spans="1:41">
      <c r="L11" t="s">
        <v>7</v>
      </c>
      <c r="M11" t="s">
        <v>7</v>
      </c>
      <c r="U11" t="s">
        <v>151</v>
      </c>
      <c r="V11" t="s">
        <v>546</v>
      </c>
      <c r="W11" t="s">
        <v>547</v>
      </c>
      <c r="Y11" t="s">
        <v>108</v>
      </c>
      <c r="Z11" t="s">
        <v>482</v>
      </c>
      <c r="AB11" t="s">
        <v>43</v>
      </c>
      <c r="AC11" t="s">
        <v>45</v>
      </c>
      <c r="AD11" t="s">
        <v>49</v>
      </c>
      <c r="AE11" t="s">
        <v>50</v>
      </c>
      <c r="AF11" t="s">
        <v>48</v>
      </c>
      <c r="AH11" t="s">
        <v>132</v>
      </c>
      <c r="AI11" t="s">
        <v>276</v>
      </c>
      <c r="AJ11" t="s">
        <v>48</v>
      </c>
    </row>
    <row r="12" spans="1:41">
      <c r="U12" t="s">
        <v>209</v>
      </c>
      <c r="V12" t="s">
        <v>287</v>
      </c>
      <c r="W12" t="s">
        <v>504</v>
      </c>
      <c r="Y12" t="s">
        <v>234</v>
      </c>
      <c r="Z12" t="s">
        <v>497</v>
      </c>
      <c r="AB12" t="s">
        <v>43</v>
      </c>
      <c r="AC12" t="s">
        <v>65</v>
      </c>
      <c r="AD12" t="s">
        <v>83</v>
      </c>
      <c r="AE12" t="s">
        <v>84</v>
      </c>
      <c r="AF12" t="s">
        <v>48</v>
      </c>
      <c r="AH12" t="s">
        <v>142</v>
      </c>
      <c r="AI12" t="s">
        <v>344</v>
      </c>
      <c r="AJ12" t="s">
        <v>48</v>
      </c>
    </row>
    <row r="13" spans="1:41">
      <c r="U13" t="s">
        <v>209</v>
      </c>
      <c r="V13" t="s">
        <v>241</v>
      </c>
      <c r="W13" t="s">
        <v>498</v>
      </c>
      <c r="Y13" t="s">
        <v>241</v>
      </c>
      <c r="Z13" t="s">
        <v>498</v>
      </c>
      <c r="AB13" t="s">
        <v>43</v>
      </c>
      <c r="AC13" t="s">
        <v>65</v>
      </c>
      <c r="AD13" t="s">
        <v>79</v>
      </c>
      <c r="AE13" t="s">
        <v>80</v>
      </c>
      <c r="AF13" t="s">
        <v>55</v>
      </c>
      <c r="AH13" t="s">
        <v>113</v>
      </c>
      <c r="AI13" t="s">
        <v>355</v>
      </c>
      <c r="AJ13" t="s">
        <v>48</v>
      </c>
    </row>
    <row r="14" spans="1:41">
      <c r="U14" t="s">
        <v>407</v>
      </c>
      <c r="V14" t="s">
        <v>447</v>
      </c>
      <c r="W14" t="s">
        <v>516</v>
      </c>
      <c r="Y14" t="s">
        <v>45</v>
      </c>
      <c r="Z14" t="s">
        <v>477</v>
      </c>
      <c r="AB14" t="s">
        <v>43</v>
      </c>
      <c r="AC14" t="s">
        <v>65</v>
      </c>
      <c r="AD14" t="s">
        <v>70</v>
      </c>
      <c r="AE14" t="s">
        <v>71</v>
      </c>
      <c r="AF14" t="s">
        <v>72</v>
      </c>
      <c r="AH14" t="s">
        <v>463</v>
      </c>
      <c r="AI14" t="s">
        <v>462</v>
      </c>
      <c r="AJ14" t="s">
        <v>48</v>
      </c>
    </row>
    <row r="15" spans="1:41">
      <c r="U15" t="s">
        <v>209</v>
      </c>
      <c r="V15" t="s">
        <v>218</v>
      </c>
      <c r="W15" t="s">
        <v>495</v>
      </c>
      <c r="Y15" t="s">
        <v>153</v>
      </c>
      <c r="Z15" t="s">
        <v>489</v>
      </c>
      <c r="AB15" t="s">
        <v>43</v>
      </c>
      <c r="AC15" t="s">
        <v>65</v>
      </c>
      <c r="AD15" t="s">
        <v>73</v>
      </c>
      <c r="AE15" t="s">
        <v>74</v>
      </c>
      <c r="AF15" t="s">
        <v>72</v>
      </c>
      <c r="AH15" t="s">
        <v>77</v>
      </c>
      <c r="AI15" t="s">
        <v>464</v>
      </c>
      <c r="AJ15" t="s">
        <v>48</v>
      </c>
    </row>
    <row r="16" spans="1:41">
      <c r="U16" t="s">
        <v>209</v>
      </c>
      <c r="V16" t="s">
        <v>256</v>
      </c>
      <c r="W16" t="s">
        <v>501</v>
      </c>
      <c r="Y16" t="s">
        <v>309</v>
      </c>
      <c r="Z16" t="s">
        <v>508</v>
      </c>
      <c r="AB16" t="s">
        <v>43</v>
      </c>
      <c r="AC16" t="s">
        <v>85</v>
      </c>
      <c r="AD16" t="s">
        <v>95</v>
      </c>
      <c r="AE16" t="s">
        <v>96</v>
      </c>
      <c r="AF16" t="s">
        <v>72</v>
      </c>
      <c r="AH16" t="s">
        <v>91</v>
      </c>
      <c r="AI16" t="s">
        <v>376</v>
      </c>
      <c r="AJ16" t="s">
        <v>48</v>
      </c>
    </row>
    <row r="17" spans="21:36">
      <c r="U17" t="s">
        <v>43</v>
      </c>
      <c r="V17" t="s">
        <v>97</v>
      </c>
      <c r="W17" t="s">
        <v>481</v>
      </c>
      <c r="Y17" t="s">
        <v>56</v>
      </c>
      <c r="Z17" t="s">
        <v>478</v>
      </c>
      <c r="AB17" t="s">
        <v>43</v>
      </c>
      <c r="AC17" t="s">
        <v>56</v>
      </c>
      <c r="AD17" t="s">
        <v>61</v>
      </c>
      <c r="AE17" t="s">
        <v>62</v>
      </c>
      <c r="AF17" t="s">
        <v>48</v>
      </c>
      <c r="AH17" t="s">
        <v>75</v>
      </c>
      <c r="AI17" t="s">
        <v>200</v>
      </c>
      <c r="AJ17" t="s">
        <v>48</v>
      </c>
    </row>
    <row r="18" spans="21:36">
      <c r="U18" t="s">
        <v>340</v>
      </c>
      <c r="V18" t="s">
        <v>342</v>
      </c>
      <c r="W18" t="s">
        <v>511</v>
      </c>
      <c r="Y18" t="s">
        <v>65</v>
      </c>
      <c r="Z18" t="s">
        <v>479</v>
      </c>
      <c r="AB18" t="s">
        <v>43</v>
      </c>
      <c r="AC18" t="s">
        <v>97</v>
      </c>
      <c r="AD18" t="s">
        <v>102</v>
      </c>
      <c r="AE18" t="s">
        <v>103</v>
      </c>
      <c r="AF18" t="s">
        <v>55</v>
      </c>
      <c r="AH18" t="s">
        <v>93</v>
      </c>
      <c r="AI18" t="s">
        <v>466</v>
      </c>
      <c r="AJ18" t="s">
        <v>48</v>
      </c>
    </row>
    <row r="19" spans="21:36">
      <c r="U19" t="s">
        <v>296</v>
      </c>
      <c r="V19" t="s">
        <v>304</v>
      </c>
      <c r="W19" t="s">
        <v>507</v>
      </c>
      <c r="Y19" t="s">
        <v>320</v>
      </c>
      <c r="Z19" t="s">
        <v>509</v>
      </c>
      <c r="AB19" t="s">
        <v>43</v>
      </c>
      <c r="AC19" t="s">
        <v>65</v>
      </c>
      <c r="AD19" t="s">
        <v>66</v>
      </c>
      <c r="AE19" t="s">
        <v>67</v>
      </c>
      <c r="AF19" t="s">
        <v>55</v>
      </c>
      <c r="AH19" t="s">
        <v>63</v>
      </c>
      <c r="AI19" t="s">
        <v>331</v>
      </c>
      <c r="AJ19" t="s">
        <v>48</v>
      </c>
    </row>
    <row r="20" spans="21:36">
      <c r="U20" t="s">
        <v>43</v>
      </c>
      <c r="V20" t="s">
        <v>56</v>
      </c>
      <c r="W20" t="s">
        <v>478</v>
      </c>
      <c r="Y20" t="s">
        <v>246</v>
      </c>
      <c r="Z20" t="s">
        <v>499</v>
      </c>
      <c r="AB20" t="s">
        <v>43</v>
      </c>
      <c r="AC20" t="s">
        <v>65</v>
      </c>
      <c r="AD20" t="s">
        <v>81</v>
      </c>
      <c r="AE20" t="s">
        <v>82</v>
      </c>
      <c r="AF20" t="s">
        <v>48</v>
      </c>
      <c r="AH20" t="s">
        <v>145</v>
      </c>
      <c r="AI20" t="s">
        <v>333</v>
      </c>
      <c r="AJ20" t="s">
        <v>48</v>
      </c>
    </row>
    <row r="21" spans="21:36">
      <c r="U21" t="s">
        <v>106</v>
      </c>
      <c r="V21" t="s">
        <v>144</v>
      </c>
      <c r="W21" t="s">
        <v>488</v>
      </c>
      <c r="Y21" t="s">
        <v>166</v>
      </c>
      <c r="Z21" t="s">
        <v>490</v>
      </c>
      <c r="AB21" t="s">
        <v>43</v>
      </c>
      <c r="AC21" t="s">
        <v>45</v>
      </c>
      <c r="AD21" t="s">
        <v>53</v>
      </c>
      <c r="AE21" t="s">
        <v>54</v>
      </c>
      <c r="AF21" t="s">
        <v>55</v>
      </c>
      <c r="AH21" t="s">
        <v>285</v>
      </c>
      <c r="AI21" t="s">
        <v>335</v>
      </c>
      <c r="AJ21" t="s">
        <v>48</v>
      </c>
    </row>
    <row r="22" spans="21:36">
      <c r="U22" t="s">
        <v>43</v>
      </c>
      <c r="V22" t="s">
        <v>65</v>
      </c>
      <c r="W22" t="s">
        <v>479</v>
      </c>
      <c r="Y22" t="s">
        <v>171</v>
      </c>
      <c r="Z22" t="s">
        <v>491</v>
      </c>
      <c r="AB22" t="s">
        <v>43</v>
      </c>
      <c r="AC22" t="s">
        <v>97</v>
      </c>
      <c r="AD22" t="s">
        <v>98</v>
      </c>
      <c r="AE22" t="s">
        <v>99</v>
      </c>
      <c r="AF22" t="s">
        <v>48</v>
      </c>
      <c r="AH22" t="s">
        <v>405</v>
      </c>
      <c r="AI22" t="s">
        <v>69</v>
      </c>
      <c r="AJ22" t="s">
        <v>48</v>
      </c>
    </row>
    <row r="23" spans="21:36">
      <c r="U23" t="s">
        <v>151</v>
      </c>
      <c r="V23" t="s">
        <v>171</v>
      </c>
      <c r="W23" t="s">
        <v>491</v>
      </c>
      <c r="Y23" t="s">
        <v>249</v>
      </c>
      <c r="Z23" t="s">
        <v>500</v>
      </c>
      <c r="AB23" t="s">
        <v>43</v>
      </c>
      <c r="AC23" t="s">
        <v>56</v>
      </c>
      <c r="AD23" t="s">
        <v>59</v>
      </c>
      <c r="AE23" t="s">
        <v>60</v>
      </c>
      <c r="AF23" t="s">
        <v>55</v>
      </c>
      <c r="AH23" t="s">
        <v>395</v>
      </c>
      <c r="AI23" t="s">
        <v>87</v>
      </c>
      <c r="AJ23" t="s">
        <v>48</v>
      </c>
    </row>
    <row r="24" spans="21:36">
      <c r="U24" t="s">
        <v>106</v>
      </c>
      <c r="V24" t="s">
        <v>117</v>
      </c>
      <c r="W24" t="s">
        <v>483</v>
      </c>
      <c r="Y24" t="s">
        <v>353</v>
      </c>
      <c r="Z24" t="s">
        <v>512</v>
      </c>
      <c r="AB24" t="s">
        <v>43</v>
      </c>
      <c r="AC24" t="s">
        <v>97</v>
      </c>
      <c r="AD24" t="s">
        <v>100</v>
      </c>
      <c r="AE24" t="s">
        <v>101</v>
      </c>
      <c r="AF24" t="s">
        <v>88</v>
      </c>
      <c r="AH24" t="s">
        <v>383</v>
      </c>
      <c r="AI24" t="s">
        <v>378</v>
      </c>
      <c r="AJ24" t="s">
        <v>48</v>
      </c>
    </row>
    <row r="25" spans="21:36" ht="12.75" customHeight="1">
      <c r="U25" t="s">
        <v>296</v>
      </c>
      <c r="V25" t="s">
        <v>309</v>
      </c>
      <c r="W25" t="s">
        <v>508</v>
      </c>
      <c r="Y25" t="s">
        <v>447</v>
      </c>
      <c r="Z25" t="s">
        <v>516</v>
      </c>
      <c r="AB25" t="s">
        <v>43</v>
      </c>
      <c r="AC25" t="s">
        <v>85</v>
      </c>
      <c r="AD25" t="s">
        <v>89</v>
      </c>
      <c r="AE25" t="s">
        <v>90</v>
      </c>
      <c r="AF25" t="s">
        <v>48</v>
      </c>
      <c r="AH25" t="s">
        <v>373</v>
      </c>
      <c r="AI25" t="s">
        <v>227</v>
      </c>
      <c r="AJ25" t="s">
        <v>48</v>
      </c>
    </row>
    <row r="26" spans="21:36" ht="12.75" customHeight="1">
      <c r="U26" t="s">
        <v>407</v>
      </c>
      <c r="V26" t="s">
        <v>458</v>
      </c>
      <c r="W26" t="s">
        <v>517</v>
      </c>
      <c r="Y26" t="s">
        <v>117</v>
      </c>
      <c r="Z26" t="s">
        <v>483</v>
      </c>
      <c r="AB26" t="s">
        <v>43</v>
      </c>
      <c r="AC26" t="s">
        <v>85</v>
      </c>
      <c r="AD26" t="s">
        <v>86</v>
      </c>
      <c r="AE26" t="s">
        <v>87</v>
      </c>
      <c r="AF26" t="s">
        <v>88</v>
      </c>
      <c r="AH26" t="s">
        <v>391</v>
      </c>
      <c r="AI26" t="s">
        <v>136</v>
      </c>
      <c r="AJ26" t="s">
        <v>48</v>
      </c>
    </row>
    <row r="27" spans="21:36" ht="12.75" customHeight="1">
      <c r="U27" t="s">
        <v>151</v>
      </c>
      <c r="V27" t="s">
        <v>166</v>
      </c>
      <c r="W27" t="s">
        <v>490</v>
      </c>
      <c r="Y27" t="s">
        <v>256</v>
      </c>
      <c r="Z27" t="s">
        <v>501</v>
      </c>
      <c r="AB27" t="s">
        <v>43</v>
      </c>
      <c r="AC27" t="s">
        <v>65</v>
      </c>
      <c r="AD27" t="s">
        <v>68</v>
      </c>
      <c r="AE27" t="s">
        <v>69</v>
      </c>
      <c r="AF27" t="s">
        <v>55</v>
      </c>
      <c r="AH27" t="s">
        <v>368</v>
      </c>
      <c r="AI27" t="s">
        <v>380</v>
      </c>
      <c r="AJ27" t="s">
        <v>48</v>
      </c>
    </row>
    <row r="28" spans="21:36">
      <c r="U28" t="s">
        <v>296</v>
      </c>
      <c r="V28" t="s">
        <v>320</v>
      </c>
      <c r="W28" t="s">
        <v>509</v>
      </c>
      <c r="Y28" t="s">
        <v>124</v>
      </c>
      <c r="Z28" t="s">
        <v>484</v>
      </c>
      <c r="AB28" t="s">
        <v>106</v>
      </c>
      <c r="AC28" t="s">
        <v>144</v>
      </c>
      <c r="AD28" t="s">
        <v>149</v>
      </c>
      <c r="AE28" t="s">
        <v>150</v>
      </c>
      <c r="AF28" t="s">
        <v>48</v>
      </c>
      <c r="AH28" t="s">
        <v>111</v>
      </c>
      <c r="AI28" t="s">
        <v>426</v>
      </c>
      <c r="AJ28" t="s">
        <v>48</v>
      </c>
    </row>
    <row r="29" spans="21:36">
      <c r="U29" t="s">
        <v>407</v>
      </c>
      <c r="V29" t="s">
        <v>409</v>
      </c>
      <c r="W29" t="s">
        <v>514</v>
      </c>
      <c r="Y29" t="s">
        <v>185</v>
      </c>
      <c r="Z29" t="s">
        <v>492</v>
      </c>
      <c r="AB29" t="s">
        <v>106</v>
      </c>
      <c r="AC29" t="s">
        <v>129</v>
      </c>
      <c r="AD29" t="s">
        <v>132</v>
      </c>
      <c r="AE29" t="s">
        <v>133</v>
      </c>
      <c r="AF29" t="s">
        <v>48</v>
      </c>
      <c r="AH29" t="s">
        <v>456</v>
      </c>
      <c r="AI29" t="s">
        <v>289</v>
      </c>
      <c r="AJ29" t="s">
        <v>48</v>
      </c>
    </row>
    <row r="30" spans="21:36">
      <c r="U30" t="s">
        <v>151</v>
      </c>
      <c r="V30" t="s">
        <v>198</v>
      </c>
      <c r="W30" t="s">
        <v>493</v>
      </c>
      <c r="Y30" t="s">
        <v>85</v>
      </c>
      <c r="Z30" t="s">
        <v>480</v>
      </c>
      <c r="AB30" t="s">
        <v>106</v>
      </c>
      <c r="AC30" t="s">
        <v>139</v>
      </c>
      <c r="AD30" t="s">
        <v>142</v>
      </c>
      <c r="AE30" t="s">
        <v>143</v>
      </c>
      <c r="AF30" t="s">
        <v>48</v>
      </c>
      <c r="AH30" t="s">
        <v>448</v>
      </c>
      <c r="AI30" t="s">
        <v>428</v>
      </c>
      <c r="AJ30" t="s">
        <v>48</v>
      </c>
    </row>
    <row r="31" spans="21:36">
      <c r="U31" t="s">
        <v>43</v>
      </c>
      <c r="V31" t="s">
        <v>85</v>
      </c>
      <c r="W31" t="s">
        <v>480</v>
      </c>
      <c r="Y31" t="s">
        <v>129</v>
      </c>
      <c r="Z31" t="s">
        <v>485</v>
      </c>
      <c r="AB31" t="s">
        <v>106</v>
      </c>
      <c r="AC31" t="s">
        <v>108</v>
      </c>
      <c r="AD31" t="s">
        <v>113</v>
      </c>
      <c r="AE31" t="s">
        <v>114</v>
      </c>
      <c r="AF31" t="s">
        <v>48</v>
      </c>
      <c r="AH31" t="s">
        <v>459</v>
      </c>
      <c r="AI31" t="s">
        <v>155</v>
      </c>
      <c r="AJ31" t="s">
        <v>48</v>
      </c>
    </row>
    <row r="32" spans="21:36">
      <c r="U32" t="s">
        <v>209</v>
      </c>
      <c r="V32" t="s">
        <v>263</v>
      </c>
      <c r="W32" t="s">
        <v>502</v>
      </c>
      <c r="Y32" t="s">
        <v>263</v>
      </c>
      <c r="Z32" t="s">
        <v>502</v>
      </c>
      <c r="AB32" t="s">
        <v>106</v>
      </c>
      <c r="AC32" t="s">
        <v>144</v>
      </c>
      <c r="AD32" t="s">
        <v>145</v>
      </c>
      <c r="AE32" t="s">
        <v>146</v>
      </c>
      <c r="AF32" t="s">
        <v>48</v>
      </c>
      <c r="AH32" t="s">
        <v>416</v>
      </c>
      <c r="AI32" t="s">
        <v>229</v>
      </c>
      <c r="AJ32" t="s">
        <v>48</v>
      </c>
    </row>
    <row r="33" spans="21:36">
      <c r="U33" t="s">
        <v>151</v>
      </c>
      <c r="V33" t="s">
        <v>153</v>
      </c>
      <c r="W33" t="s">
        <v>489</v>
      </c>
      <c r="Y33" t="s">
        <v>134</v>
      </c>
      <c r="Z33" t="s">
        <v>486</v>
      </c>
      <c r="AB33" t="s">
        <v>106</v>
      </c>
      <c r="AC33" t="s">
        <v>108</v>
      </c>
      <c r="AD33" t="s">
        <v>111</v>
      </c>
      <c r="AE33" t="s">
        <v>112</v>
      </c>
      <c r="AF33" t="s">
        <v>48</v>
      </c>
      <c r="AH33" t="s">
        <v>327</v>
      </c>
      <c r="AI33" t="s">
        <v>231</v>
      </c>
      <c r="AJ33" t="s">
        <v>48</v>
      </c>
    </row>
    <row r="34" spans="21:36">
      <c r="U34" t="s">
        <v>106</v>
      </c>
      <c r="V34" t="s">
        <v>108</v>
      </c>
      <c r="W34" t="s">
        <v>482</v>
      </c>
      <c r="Y34" t="s">
        <v>198</v>
      </c>
      <c r="Z34" t="s">
        <v>493</v>
      </c>
      <c r="AB34" t="s">
        <v>106</v>
      </c>
      <c r="AC34" t="s">
        <v>144</v>
      </c>
      <c r="AD34" t="s">
        <v>147</v>
      </c>
      <c r="AE34" t="s">
        <v>148</v>
      </c>
      <c r="AF34" t="s">
        <v>55</v>
      </c>
      <c r="AH34" t="s">
        <v>302</v>
      </c>
      <c r="AI34" t="s">
        <v>110</v>
      </c>
      <c r="AJ34" t="s">
        <v>48</v>
      </c>
    </row>
    <row r="35" spans="21:36">
      <c r="U35" t="s">
        <v>209</v>
      </c>
      <c r="V35" t="s">
        <v>225</v>
      </c>
      <c r="W35" t="s">
        <v>496</v>
      </c>
      <c r="Y35" t="s">
        <v>272</v>
      </c>
      <c r="Z35" t="s">
        <v>503</v>
      </c>
      <c r="AB35" t="s">
        <v>106</v>
      </c>
      <c r="AC35" t="s">
        <v>134</v>
      </c>
      <c r="AD35" t="s">
        <v>137</v>
      </c>
      <c r="AE35" t="s">
        <v>138</v>
      </c>
      <c r="AF35" t="s">
        <v>48</v>
      </c>
      <c r="AH35" t="s">
        <v>305</v>
      </c>
      <c r="AI35" t="s">
        <v>413</v>
      </c>
      <c r="AJ35" t="s">
        <v>48</v>
      </c>
    </row>
    <row r="36" spans="21:36">
      <c r="U36" t="s">
        <v>209</v>
      </c>
      <c r="V36" t="s">
        <v>234</v>
      </c>
      <c r="W36" t="s">
        <v>497</v>
      </c>
      <c r="Y36" t="s">
        <v>329</v>
      </c>
      <c r="Z36" t="s">
        <v>510</v>
      </c>
      <c r="AB36" t="s">
        <v>106</v>
      </c>
      <c r="AC36" t="s">
        <v>129</v>
      </c>
      <c r="AD36" t="s">
        <v>130</v>
      </c>
      <c r="AE36" t="s">
        <v>131</v>
      </c>
      <c r="AF36" t="s">
        <v>48</v>
      </c>
      <c r="AH36" t="s">
        <v>179</v>
      </c>
      <c r="AI36" t="s">
        <v>146</v>
      </c>
      <c r="AJ36" t="s">
        <v>48</v>
      </c>
    </row>
    <row r="37" spans="21:36">
      <c r="U37" t="s">
        <v>209</v>
      </c>
      <c r="V37" t="s">
        <v>272</v>
      </c>
      <c r="W37" t="s">
        <v>503</v>
      </c>
      <c r="Y37" t="s">
        <v>139</v>
      </c>
      <c r="Z37" t="s">
        <v>487</v>
      </c>
      <c r="AB37" t="s">
        <v>106</v>
      </c>
      <c r="AC37" t="s">
        <v>134</v>
      </c>
      <c r="AD37" t="s">
        <v>135</v>
      </c>
      <c r="AE37" t="s">
        <v>136</v>
      </c>
      <c r="AF37" t="s">
        <v>55</v>
      </c>
      <c r="AH37" t="s">
        <v>169</v>
      </c>
      <c r="AI37" t="s">
        <v>148</v>
      </c>
      <c r="AJ37" t="s">
        <v>48</v>
      </c>
    </row>
    <row r="38" spans="21:36">
      <c r="U38" t="s">
        <v>43</v>
      </c>
      <c r="V38" t="s">
        <v>45</v>
      </c>
      <c r="W38" t="s">
        <v>477</v>
      </c>
      <c r="Y38" t="s">
        <v>144</v>
      </c>
      <c r="Z38" t="s">
        <v>488</v>
      </c>
      <c r="AB38" t="s">
        <v>106</v>
      </c>
      <c r="AC38" t="s">
        <v>108</v>
      </c>
      <c r="AD38" t="s">
        <v>115</v>
      </c>
      <c r="AE38" t="s">
        <v>116</v>
      </c>
      <c r="AF38" t="s">
        <v>48</v>
      </c>
      <c r="AH38" t="s">
        <v>147</v>
      </c>
      <c r="AI38" t="s">
        <v>278</v>
      </c>
      <c r="AJ38" t="s">
        <v>48</v>
      </c>
    </row>
    <row r="39" spans="21:36">
      <c r="U39" t="s">
        <v>296</v>
      </c>
      <c r="V39" t="s">
        <v>329</v>
      </c>
      <c r="W39" t="s">
        <v>510</v>
      </c>
      <c r="Y39" t="s">
        <v>97</v>
      </c>
      <c r="Z39" t="s">
        <v>481</v>
      </c>
      <c r="AB39" t="s">
        <v>106</v>
      </c>
      <c r="AC39" t="s">
        <v>117</v>
      </c>
      <c r="AD39" t="s">
        <v>120</v>
      </c>
      <c r="AE39" t="s">
        <v>121</v>
      </c>
      <c r="AF39" t="s">
        <v>48</v>
      </c>
      <c r="AH39" t="s">
        <v>137</v>
      </c>
      <c r="AI39" t="s">
        <v>311</v>
      </c>
      <c r="AJ39" t="s">
        <v>48</v>
      </c>
    </row>
    <row r="40" spans="21:36">
      <c r="U40" t="s">
        <v>151</v>
      </c>
      <c r="V40" t="s">
        <v>185</v>
      </c>
      <c r="W40" t="s">
        <v>492</v>
      </c>
      <c r="Y40" t="s">
        <v>458</v>
      </c>
      <c r="Z40" t="s">
        <v>517</v>
      </c>
      <c r="AB40" t="s">
        <v>106</v>
      </c>
      <c r="AC40" t="s">
        <v>117</v>
      </c>
      <c r="AD40" t="s">
        <v>122</v>
      </c>
      <c r="AE40" t="s">
        <v>123</v>
      </c>
      <c r="AF40" t="s">
        <v>48</v>
      </c>
      <c r="AH40" t="s">
        <v>385</v>
      </c>
      <c r="AI40" t="s">
        <v>382</v>
      </c>
      <c r="AJ40" t="s">
        <v>48</v>
      </c>
    </row>
    <row r="41" spans="21:36">
      <c r="U41" t="s">
        <v>340</v>
      </c>
      <c r="V41" t="s">
        <v>372</v>
      </c>
      <c r="W41" t="s">
        <v>513</v>
      </c>
      <c r="Y41" t="s">
        <v>287</v>
      </c>
      <c r="Z41" t="s">
        <v>504</v>
      </c>
      <c r="AB41" t="s">
        <v>106</v>
      </c>
      <c r="AC41" t="s">
        <v>124</v>
      </c>
      <c r="AD41" t="s">
        <v>127</v>
      </c>
      <c r="AE41" t="s">
        <v>128</v>
      </c>
      <c r="AF41" t="s">
        <v>48</v>
      </c>
      <c r="AH41" t="s">
        <v>397</v>
      </c>
      <c r="AI41" t="s">
        <v>157</v>
      </c>
      <c r="AJ41" t="s">
        <v>48</v>
      </c>
    </row>
    <row r="42" spans="21:36">
      <c r="U42" t="s">
        <v>407</v>
      </c>
      <c r="V42" t="s">
        <v>424</v>
      </c>
      <c r="W42" t="s">
        <v>515</v>
      </c>
      <c r="Y42" t="s">
        <v>546</v>
      </c>
      <c r="Z42" t="s">
        <v>547</v>
      </c>
      <c r="AB42" t="s">
        <v>106</v>
      </c>
      <c r="AC42" t="s">
        <v>124</v>
      </c>
      <c r="AD42" t="s">
        <v>125</v>
      </c>
      <c r="AE42" t="s">
        <v>126</v>
      </c>
      <c r="AF42" t="s">
        <v>55</v>
      </c>
      <c r="AH42" t="s">
        <v>387</v>
      </c>
      <c r="AI42" t="s">
        <v>346</v>
      </c>
      <c r="AJ42" t="s">
        <v>48</v>
      </c>
    </row>
    <row r="43" spans="21:36">
      <c r="U43" t="s">
        <v>340</v>
      </c>
      <c r="V43" t="s">
        <v>353</v>
      </c>
      <c r="W43" t="s">
        <v>512</v>
      </c>
      <c r="Y43" t="s">
        <v>372</v>
      </c>
      <c r="Z43" t="s">
        <v>513</v>
      </c>
      <c r="AB43" t="s">
        <v>106</v>
      </c>
      <c r="AC43" t="s">
        <v>139</v>
      </c>
      <c r="AD43" t="s">
        <v>140</v>
      </c>
      <c r="AE43" t="s">
        <v>141</v>
      </c>
      <c r="AF43" t="s">
        <v>48</v>
      </c>
      <c r="AH43" t="s">
        <v>399</v>
      </c>
      <c r="AI43" t="s">
        <v>60</v>
      </c>
      <c r="AJ43" t="s">
        <v>48</v>
      </c>
    </row>
    <row r="44" spans="21:36">
      <c r="AB44" t="s">
        <v>106</v>
      </c>
      <c r="AC44" t="s">
        <v>117</v>
      </c>
      <c r="AD44" t="s">
        <v>118</v>
      </c>
      <c r="AE44" t="s">
        <v>119</v>
      </c>
      <c r="AF44" t="s">
        <v>55</v>
      </c>
      <c r="AH44" t="s">
        <v>410</v>
      </c>
      <c r="AI44" t="s">
        <v>265</v>
      </c>
      <c r="AJ44" t="s">
        <v>48</v>
      </c>
    </row>
    <row r="45" spans="21:36">
      <c r="AB45" t="s">
        <v>106</v>
      </c>
      <c r="AC45" t="s">
        <v>108</v>
      </c>
      <c r="AD45" t="s">
        <v>109</v>
      </c>
      <c r="AE45" t="s">
        <v>110</v>
      </c>
      <c r="AF45" t="s">
        <v>55</v>
      </c>
      <c r="AH45" t="s">
        <v>422</v>
      </c>
      <c r="AI45" t="s">
        <v>337</v>
      </c>
      <c r="AJ45" t="s">
        <v>48</v>
      </c>
    </row>
    <row r="46" spans="21:36">
      <c r="AB46" t="s">
        <v>151</v>
      </c>
      <c r="AC46" t="s">
        <v>185</v>
      </c>
      <c r="AD46" t="s">
        <v>192</v>
      </c>
      <c r="AE46" t="s">
        <v>193</v>
      </c>
      <c r="AF46" t="s">
        <v>55</v>
      </c>
      <c r="AH46" t="s">
        <v>226</v>
      </c>
      <c r="AI46" t="s">
        <v>306</v>
      </c>
      <c r="AJ46" t="s">
        <v>48</v>
      </c>
    </row>
    <row r="47" spans="21:36">
      <c r="AB47" t="s">
        <v>151</v>
      </c>
      <c r="AC47" t="s">
        <v>185</v>
      </c>
      <c r="AD47" t="s">
        <v>188</v>
      </c>
      <c r="AE47" t="s">
        <v>189</v>
      </c>
      <c r="AF47" t="s">
        <v>48</v>
      </c>
      <c r="AH47" t="s">
        <v>467</v>
      </c>
      <c r="AI47" t="s">
        <v>173</v>
      </c>
      <c r="AJ47" t="s">
        <v>48</v>
      </c>
    </row>
    <row r="48" spans="21:36">
      <c r="AB48" t="s">
        <v>151</v>
      </c>
      <c r="AC48" t="s">
        <v>171</v>
      </c>
      <c r="AD48" t="s">
        <v>179</v>
      </c>
      <c r="AE48" t="s">
        <v>180</v>
      </c>
      <c r="AF48" t="s">
        <v>88</v>
      </c>
      <c r="AH48" t="s">
        <v>338</v>
      </c>
      <c r="AI48" t="s">
        <v>99</v>
      </c>
      <c r="AJ48" t="s">
        <v>48</v>
      </c>
    </row>
    <row r="49" spans="28:36">
      <c r="AB49" t="s">
        <v>151</v>
      </c>
      <c r="AC49" t="s">
        <v>166</v>
      </c>
      <c r="AD49" t="s">
        <v>169</v>
      </c>
      <c r="AE49" t="s">
        <v>170</v>
      </c>
      <c r="AF49" t="s">
        <v>48</v>
      </c>
      <c r="AH49" t="s">
        <v>307</v>
      </c>
      <c r="AI49" t="s">
        <v>300</v>
      </c>
      <c r="AJ49" t="s">
        <v>48</v>
      </c>
    </row>
    <row r="50" spans="28:36">
      <c r="AB50" t="s">
        <v>151</v>
      </c>
      <c r="AC50" t="s">
        <v>185</v>
      </c>
      <c r="AD50" t="s">
        <v>196</v>
      </c>
      <c r="AE50" t="s">
        <v>197</v>
      </c>
      <c r="AF50" t="s">
        <v>48</v>
      </c>
      <c r="AH50" t="s">
        <v>330</v>
      </c>
      <c r="AI50" t="s">
        <v>170</v>
      </c>
      <c r="AJ50" t="s">
        <v>48</v>
      </c>
    </row>
    <row r="51" spans="28:36">
      <c r="AB51" t="s">
        <v>151</v>
      </c>
      <c r="AC51" t="s">
        <v>185</v>
      </c>
      <c r="AD51" t="s">
        <v>190</v>
      </c>
      <c r="AE51" t="s">
        <v>191</v>
      </c>
      <c r="AF51" t="s">
        <v>48</v>
      </c>
      <c r="AH51" t="s">
        <v>130</v>
      </c>
      <c r="AI51" t="s">
        <v>430</v>
      </c>
      <c r="AJ51" t="s">
        <v>48</v>
      </c>
    </row>
    <row r="52" spans="28:36">
      <c r="AB52" t="s">
        <v>151</v>
      </c>
      <c r="AC52" t="s">
        <v>198</v>
      </c>
      <c r="AD52" t="s">
        <v>205</v>
      </c>
      <c r="AE52" t="s">
        <v>206</v>
      </c>
      <c r="AF52" t="s">
        <v>48</v>
      </c>
      <c r="AH52" t="s">
        <v>268</v>
      </c>
      <c r="AI52" t="s">
        <v>291</v>
      </c>
      <c r="AJ52" t="s">
        <v>48</v>
      </c>
    </row>
    <row r="53" spans="28:36">
      <c r="AB53" t="s">
        <v>151</v>
      </c>
      <c r="AC53" t="s">
        <v>185</v>
      </c>
      <c r="AD53" t="s">
        <v>186</v>
      </c>
      <c r="AE53" t="s">
        <v>187</v>
      </c>
      <c r="AF53" t="s">
        <v>48</v>
      </c>
      <c r="AH53" t="s">
        <v>196</v>
      </c>
      <c r="AI53" t="s">
        <v>126</v>
      </c>
      <c r="AJ53" t="s">
        <v>48</v>
      </c>
    </row>
    <row r="54" spans="28:36">
      <c r="AB54" t="s">
        <v>151</v>
      </c>
      <c r="AC54" t="s">
        <v>153</v>
      </c>
      <c r="AD54" t="s">
        <v>154</v>
      </c>
      <c r="AE54" t="s">
        <v>155</v>
      </c>
      <c r="AF54" t="s">
        <v>48</v>
      </c>
      <c r="AH54" t="s">
        <v>420</v>
      </c>
      <c r="AI54" t="s">
        <v>128</v>
      </c>
      <c r="AJ54" t="s">
        <v>48</v>
      </c>
    </row>
    <row r="55" spans="28:36">
      <c r="AB55" t="s">
        <v>151</v>
      </c>
      <c r="AC55" t="s">
        <v>198</v>
      </c>
      <c r="AD55" t="s">
        <v>201</v>
      </c>
      <c r="AE55" t="s">
        <v>202</v>
      </c>
      <c r="AF55" t="s">
        <v>55</v>
      </c>
      <c r="AH55" t="s">
        <v>190</v>
      </c>
      <c r="AI55" t="s">
        <v>71</v>
      </c>
      <c r="AJ55" t="s">
        <v>48</v>
      </c>
    </row>
    <row r="56" spans="28:36">
      <c r="AB56" t="s">
        <v>151</v>
      </c>
      <c r="AC56" t="s">
        <v>153</v>
      </c>
      <c r="AD56" t="s">
        <v>164</v>
      </c>
      <c r="AE56" t="s">
        <v>165</v>
      </c>
      <c r="AF56" t="s">
        <v>48</v>
      </c>
      <c r="AH56" t="s">
        <v>205</v>
      </c>
      <c r="AI56" t="s">
        <v>121</v>
      </c>
      <c r="AJ56" t="s">
        <v>48</v>
      </c>
    </row>
    <row r="57" spans="28:36">
      <c r="AB57" t="s">
        <v>151</v>
      </c>
      <c r="AC57" t="s">
        <v>171</v>
      </c>
      <c r="AD57" t="s">
        <v>174</v>
      </c>
      <c r="AE57" t="s">
        <v>175</v>
      </c>
      <c r="AF57" t="s">
        <v>72</v>
      </c>
      <c r="AH57" t="s">
        <v>46</v>
      </c>
      <c r="AI57" t="s">
        <v>357</v>
      </c>
      <c r="AJ57" t="s">
        <v>48</v>
      </c>
    </row>
    <row r="58" spans="28:36">
      <c r="AB58" t="s">
        <v>151</v>
      </c>
      <c r="AC58" t="s">
        <v>198</v>
      </c>
      <c r="AD58" t="s">
        <v>203</v>
      </c>
      <c r="AE58" t="s">
        <v>204</v>
      </c>
      <c r="AF58" t="s">
        <v>48</v>
      </c>
      <c r="AH58" t="s">
        <v>51</v>
      </c>
      <c r="AI58" t="s">
        <v>47</v>
      </c>
      <c r="AJ58" t="s">
        <v>48</v>
      </c>
    </row>
    <row r="59" spans="28:36">
      <c r="AB59" t="s">
        <v>151</v>
      </c>
      <c r="AC59" t="s">
        <v>153</v>
      </c>
      <c r="AD59" t="s">
        <v>156</v>
      </c>
      <c r="AE59" t="s">
        <v>157</v>
      </c>
      <c r="AF59" t="s">
        <v>48</v>
      </c>
      <c r="AH59" t="s">
        <v>104</v>
      </c>
      <c r="AI59" t="s">
        <v>187</v>
      </c>
      <c r="AJ59" t="s">
        <v>48</v>
      </c>
    </row>
    <row r="60" spans="28:36">
      <c r="AB60" t="s">
        <v>151</v>
      </c>
      <c r="AC60" t="s">
        <v>185</v>
      </c>
      <c r="AD60" t="s">
        <v>194</v>
      </c>
      <c r="AE60" t="s">
        <v>195</v>
      </c>
      <c r="AF60" t="s">
        <v>55</v>
      </c>
      <c r="AH60" t="s">
        <v>135</v>
      </c>
      <c r="AI60" t="s">
        <v>449</v>
      </c>
      <c r="AJ60" t="s">
        <v>48</v>
      </c>
    </row>
    <row r="61" spans="28:36">
      <c r="AB61" t="s">
        <v>151</v>
      </c>
      <c r="AC61" t="s">
        <v>153</v>
      </c>
      <c r="AD61" t="s">
        <v>162</v>
      </c>
      <c r="AE61" t="s">
        <v>163</v>
      </c>
      <c r="AF61" t="s">
        <v>48</v>
      </c>
      <c r="AH61" t="s">
        <v>292</v>
      </c>
      <c r="AI61" t="s">
        <v>213</v>
      </c>
      <c r="AJ61" t="s">
        <v>48</v>
      </c>
    </row>
    <row r="62" spans="28:36">
      <c r="AB62" t="s">
        <v>151</v>
      </c>
      <c r="AC62" t="s">
        <v>166</v>
      </c>
      <c r="AD62" t="s">
        <v>167</v>
      </c>
      <c r="AE62" t="s">
        <v>168</v>
      </c>
      <c r="AF62" t="s">
        <v>55</v>
      </c>
      <c r="AH62" t="s">
        <v>454</v>
      </c>
      <c r="AI62" t="s">
        <v>313</v>
      </c>
      <c r="AJ62" t="s">
        <v>48</v>
      </c>
    </row>
    <row r="63" spans="28:36">
      <c r="AB63" t="s">
        <v>151</v>
      </c>
      <c r="AC63" t="s">
        <v>171</v>
      </c>
      <c r="AD63" t="s">
        <v>181</v>
      </c>
      <c r="AE63" t="s">
        <v>182</v>
      </c>
      <c r="AF63" t="s">
        <v>55</v>
      </c>
      <c r="AH63" t="s">
        <v>381</v>
      </c>
      <c r="AI63" t="s">
        <v>315</v>
      </c>
      <c r="AJ63" t="s">
        <v>48</v>
      </c>
    </row>
    <row r="64" spans="28:36">
      <c r="AB64" t="s">
        <v>151</v>
      </c>
      <c r="AC64" t="s">
        <v>171</v>
      </c>
      <c r="AD64" t="s">
        <v>172</v>
      </c>
      <c r="AE64" t="s">
        <v>173</v>
      </c>
      <c r="AF64" t="s">
        <v>48</v>
      </c>
      <c r="AH64" t="s">
        <v>379</v>
      </c>
      <c r="AI64" t="s">
        <v>62</v>
      </c>
      <c r="AJ64" t="s">
        <v>48</v>
      </c>
    </row>
    <row r="65" spans="28:36">
      <c r="AB65" t="s">
        <v>151</v>
      </c>
      <c r="AC65" t="s">
        <v>198</v>
      </c>
      <c r="AD65" t="s">
        <v>199</v>
      </c>
      <c r="AE65" t="s">
        <v>200</v>
      </c>
      <c r="AF65" t="s">
        <v>48</v>
      </c>
      <c r="AH65" t="s">
        <v>49</v>
      </c>
      <c r="AI65" t="s">
        <v>101</v>
      </c>
      <c r="AJ65" t="s">
        <v>48</v>
      </c>
    </row>
    <row r="66" spans="28:36">
      <c r="AB66" t="s">
        <v>151</v>
      </c>
      <c r="AC66" t="s">
        <v>153</v>
      </c>
      <c r="AD66" t="s">
        <v>158</v>
      </c>
      <c r="AE66" t="s">
        <v>159</v>
      </c>
      <c r="AF66" t="s">
        <v>55</v>
      </c>
      <c r="AH66" t="s">
        <v>270</v>
      </c>
      <c r="AI66" t="s">
        <v>451</v>
      </c>
      <c r="AJ66" t="s">
        <v>48</v>
      </c>
    </row>
    <row r="67" spans="28:36">
      <c r="AB67" t="s">
        <v>151</v>
      </c>
      <c r="AC67" t="s">
        <v>171</v>
      </c>
      <c r="AD67" t="s">
        <v>176</v>
      </c>
      <c r="AE67" t="s">
        <v>177</v>
      </c>
      <c r="AF67" t="s">
        <v>178</v>
      </c>
      <c r="AH67" t="s">
        <v>115</v>
      </c>
      <c r="AI67" t="s">
        <v>453</v>
      </c>
      <c r="AJ67" t="s">
        <v>48</v>
      </c>
    </row>
    <row r="68" spans="28:36">
      <c r="AB68" t="s">
        <v>151</v>
      </c>
      <c r="AC68" t="s">
        <v>198</v>
      </c>
      <c r="AD68" t="s">
        <v>207</v>
      </c>
      <c r="AE68" t="s">
        <v>208</v>
      </c>
      <c r="AF68" t="s">
        <v>178</v>
      </c>
      <c r="AH68" t="s">
        <v>294</v>
      </c>
      <c r="AI68" t="s">
        <v>90</v>
      </c>
      <c r="AJ68" t="s">
        <v>48</v>
      </c>
    </row>
    <row r="69" spans="28:36">
      <c r="AB69" t="s">
        <v>151</v>
      </c>
      <c r="AC69" t="s">
        <v>171</v>
      </c>
      <c r="AD69" t="s">
        <v>183</v>
      </c>
      <c r="AE69" t="s">
        <v>184</v>
      </c>
      <c r="AF69" t="s">
        <v>48</v>
      </c>
      <c r="AH69" t="s">
        <v>83</v>
      </c>
      <c r="AI69" t="s">
        <v>189</v>
      </c>
      <c r="AJ69" t="s">
        <v>48</v>
      </c>
    </row>
    <row r="70" spans="28:36">
      <c r="AB70" t="s">
        <v>151</v>
      </c>
      <c r="AC70" t="s">
        <v>153</v>
      </c>
      <c r="AD70" t="s">
        <v>160</v>
      </c>
      <c r="AE70" t="s">
        <v>161</v>
      </c>
      <c r="AF70" t="s">
        <v>88</v>
      </c>
      <c r="AH70" t="s">
        <v>252</v>
      </c>
      <c r="AI70" t="s">
        <v>159</v>
      </c>
      <c r="AJ70" t="s">
        <v>48</v>
      </c>
    </row>
    <row r="71" spans="28:36">
      <c r="AB71" t="s">
        <v>209</v>
      </c>
      <c r="AC71" t="s">
        <v>211</v>
      </c>
      <c r="AD71" t="s">
        <v>212</v>
      </c>
      <c r="AE71" t="s">
        <v>213</v>
      </c>
      <c r="AF71" t="s">
        <v>55</v>
      </c>
      <c r="AH71" t="s">
        <v>283</v>
      </c>
      <c r="AI71" t="s">
        <v>161</v>
      </c>
      <c r="AJ71" t="s">
        <v>48</v>
      </c>
    </row>
    <row r="72" spans="28:36">
      <c r="AB72" t="s">
        <v>209</v>
      </c>
      <c r="AC72" t="s">
        <v>249</v>
      </c>
      <c r="AD72" t="s">
        <v>250</v>
      </c>
      <c r="AE72" t="s">
        <v>251</v>
      </c>
      <c r="AF72" t="s">
        <v>88</v>
      </c>
      <c r="AH72" t="s">
        <v>216</v>
      </c>
      <c r="AI72" t="s">
        <v>258</v>
      </c>
      <c r="AJ72" t="s">
        <v>48</v>
      </c>
    </row>
    <row r="73" spans="28:36">
      <c r="AB73" t="s">
        <v>209</v>
      </c>
      <c r="AC73" t="s">
        <v>272</v>
      </c>
      <c r="AD73" t="s">
        <v>285</v>
      </c>
      <c r="AE73" t="s">
        <v>286</v>
      </c>
      <c r="AF73" t="s">
        <v>48</v>
      </c>
      <c r="AH73" t="s">
        <v>290</v>
      </c>
      <c r="AI73" t="s">
        <v>50</v>
      </c>
      <c r="AJ73" t="s">
        <v>48</v>
      </c>
    </row>
    <row r="74" spans="28:36">
      <c r="AB74" t="s">
        <v>209</v>
      </c>
      <c r="AC74" t="s">
        <v>225</v>
      </c>
      <c r="AD74" t="s">
        <v>226</v>
      </c>
      <c r="AE74" t="s">
        <v>227</v>
      </c>
      <c r="AF74" t="s">
        <v>48</v>
      </c>
      <c r="AH74" t="s">
        <v>321</v>
      </c>
      <c r="AI74" t="s">
        <v>348</v>
      </c>
      <c r="AJ74" t="s">
        <v>48</v>
      </c>
    </row>
    <row r="75" spans="28:36">
      <c r="AB75" t="s">
        <v>209</v>
      </c>
      <c r="AC75" t="s">
        <v>263</v>
      </c>
      <c r="AD75" t="s">
        <v>268</v>
      </c>
      <c r="AE75" t="s">
        <v>269</v>
      </c>
      <c r="AF75" t="s">
        <v>55</v>
      </c>
      <c r="AH75" t="s">
        <v>362</v>
      </c>
      <c r="AI75" t="s">
        <v>350</v>
      </c>
      <c r="AJ75" t="s">
        <v>48</v>
      </c>
    </row>
    <row r="76" spans="28:36">
      <c r="AB76" t="s">
        <v>209</v>
      </c>
      <c r="AC76" t="s">
        <v>287</v>
      </c>
      <c r="AD76" t="s">
        <v>292</v>
      </c>
      <c r="AE76" t="s">
        <v>293</v>
      </c>
      <c r="AF76" t="s">
        <v>48</v>
      </c>
      <c r="AH76" t="s">
        <v>354</v>
      </c>
      <c r="AI76" t="s">
        <v>468</v>
      </c>
      <c r="AJ76" t="s">
        <v>48</v>
      </c>
    </row>
    <row r="77" spans="28:36">
      <c r="AB77" t="s">
        <v>209</v>
      </c>
      <c r="AC77" t="s">
        <v>263</v>
      </c>
      <c r="AD77" t="s">
        <v>270</v>
      </c>
      <c r="AE77" t="s">
        <v>271</v>
      </c>
      <c r="AF77" t="s">
        <v>48</v>
      </c>
      <c r="AH77" t="s">
        <v>366</v>
      </c>
      <c r="AI77" t="s">
        <v>470</v>
      </c>
      <c r="AJ77" t="s">
        <v>48</v>
      </c>
    </row>
    <row r="78" spans="28:36">
      <c r="AB78" t="s">
        <v>209</v>
      </c>
      <c r="AC78" t="s">
        <v>287</v>
      </c>
      <c r="AD78" t="s">
        <v>294</v>
      </c>
      <c r="AE78" t="s">
        <v>295</v>
      </c>
      <c r="AF78" t="s">
        <v>48</v>
      </c>
      <c r="AH78" t="s">
        <v>323</v>
      </c>
      <c r="AI78" t="s">
        <v>243</v>
      </c>
      <c r="AJ78" t="s">
        <v>48</v>
      </c>
    </row>
    <row r="79" spans="28:36">
      <c r="AB79" t="s">
        <v>209</v>
      </c>
      <c r="AC79" t="s">
        <v>249</v>
      </c>
      <c r="AD79" t="s">
        <v>252</v>
      </c>
      <c r="AE79" t="s">
        <v>253</v>
      </c>
      <c r="AF79" t="s">
        <v>72</v>
      </c>
      <c r="AH79" t="s">
        <v>120</v>
      </c>
      <c r="AI79" t="s">
        <v>52</v>
      </c>
      <c r="AJ79" t="s">
        <v>48</v>
      </c>
    </row>
    <row r="80" spans="28:36">
      <c r="AB80" t="s">
        <v>209</v>
      </c>
      <c r="AC80" t="s">
        <v>272</v>
      </c>
      <c r="AD80" t="s">
        <v>283</v>
      </c>
      <c r="AE80" t="s">
        <v>284</v>
      </c>
      <c r="AF80" t="s">
        <v>48</v>
      </c>
      <c r="AH80" t="s">
        <v>186</v>
      </c>
      <c r="AI80" t="s">
        <v>236</v>
      </c>
      <c r="AJ80" t="s">
        <v>48</v>
      </c>
    </row>
    <row r="81" spans="28:36">
      <c r="AB81" t="s">
        <v>209</v>
      </c>
      <c r="AC81" t="s">
        <v>211</v>
      </c>
      <c r="AD81" t="s">
        <v>216</v>
      </c>
      <c r="AE81" t="s">
        <v>217</v>
      </c>
      <c r="AF81" t="s">
        <v>48</v>
      </c>
      <c r="AH81" t="s">
        <v>154</v>
      </c>
      <c r="AI81" t="s">
        <v>238</v>
      </c>
      <c r="AJ81" t="s">
        <v>48</v>
      </c>
    </row>
    <row r="82" spans="28:36">
      <c r="AB82" t="s">
        <v>209</v>
      </c>
      <c r="AC82" t="s">
        <v>287</v>
      </c>
      <c r="AD82" t="s">
        <v>290</v>
      </c>
      <c r="AE82" t="s">
        <v>291</v>
      </c>
      <c r="AF82" t="s">
        <v>48</v>
      </c>
      <c r="AH82" t="s">
        <v>281</v>
      </c>
      <c r="AI82" t="s">
        <v>384</v>
      </c>
      <c r="AJ82" t="s">
        <v>48</v>
      </c>
    </row>
    <row r="83" spans="28:36">
      <c r="AB83" t="s">
        <v>209</v>
      </c>
      <c r="AC83" t="s">
        <v>272</v>
      </c>
      <c r="AD83" t="s">
        <v>281</v>
      </c>
      <c r="AE83" t="s">
        <v>282</v>
      </c>
      <c r="AF83" t="s">
        <v>48</v>
      </c>
      <c r="AH83" t="s">
        <v>79</v>
      </c>
      <c r="AI83" t="s">
        <v>386</v>
      </c>
      <c r="AJ83" t="s">
        <v>48</v>
      </c>
    </row>
    <row r="84" spans="28:36">
      <c r="AB84" t="s">
        <v>209</v>
      </c>
      <c r="AC84" t="s">
        <v>256</v>
      </c>
      <c r="AD84" t="s">
        <v>257</v>
      </c>
      <c r="AE84" t="s">
        <v>258</v>
      </c>
      <c r="AF84" t="s">
        <v>48</v>
      </c>
      <c r="AH84" t="s">
        <v>431</v>
      </c>
      <c r="AI84" t="s">
        <v>388</v>
      </c>
      <c r="AJ84" t="s">
        <v>48</v>
      </c>
    </row>
    <row r="85" spans="28:36">
      <c r="AB85" t="s">
        <v>209</v>
      </c>
      <c r="AC85" t="s">
        <v>256</v>
      </c>
      <c r="AD85" t="s">
        <v>259</v>
      </c>
      <c r="AE85" t="s">
        <v>260</v>
      </c>
      <c r="AF85" t="s">
        <v>48</v>
      </c>
      <c r="AH85" t="s">
        <v>257</v>
      </c>
      <c r="AI85" t="s">
        <v>163</v>
      </c>
      <c r="AJ85" t="s">
        <v>48</v>
      </c>
    </row>
    <row r="86" spans="28:36">
      <c r="AB86" t="s">
        <v>209</v>
      </c>
      <c r="AC86" t="s">
        <v>256</v>
      </c>
      <c r="AD86" t="s">
        <v>261</v>
      </c>
      <c r="AE86" t="s">
        <v>262</v>
      </c>
      <c r="AF86" t="s">
        <v>55</v>
      </c>
      <c r="AH86" t="s">
        <v>259</v>
      </c>
      <c r="AI86" t="s">
        <v>359</v>
      </c>
      <c r="AJ86" t="s">
        <v>48</v>
      </c>
    </row>
    <row r="87" spans="28:36">
      <c r="AB87" t="s">
        <v>209</v>
      </c>
      <c r="AC87" t="s">
        <v>234</v>
      </c>
      <c r="AD87" t="s">
        <v>237</v>
      </c>
      <c r="AE87" t="s">
        <v>238</v>
      </c>
      <c r="AF87" t="s">
        <v>55</v>
      </c>
      <c r="AH87" t="s">
        <v>201</v>
      </c>
      <c r="AI87" t="s">
        <v>165</v>
      </c>
      <c r="AJ87" t="s">
        <v>48</v>
      </c>
    </row>
    <row r="88" spans="28:36">
      <c r="AB88" t="s">
        <v>209</v>
      </c>
      <c r="AC88" t="s">
        <v>246</v>
      </c>
      <c r="AD88" t="s">
        <v>247</v>
      </c>
      <c r="AE88" t="s">
        <v>248</v>
      </c>
      <c r="AF88" t="s">
        <v>55</v>
      </c>
      <c r="AH88" t="s">
        <v>122</v>
      </c>
      <c r="AI88" t="s">
        <v>390</v>
      </c>
      <c r="AJ88" t="s">
        <v>48</v>
      </c>
    </row>
    <row r="89" spans="28:36">
      <c r="AB89" t="s">
        <v>209</v>
      </c>
      <c r="AC89" t="s">
        <v>218</v>
      </c>
      <c r="AD89" t="s">
        <v>221</v>
      </c>
      <c r="AE89" t="s">
        <v>222</v>
      </c>
      <c r="AF89" t="s">
        <v>72</v>
      </c>
      <c r="AH89" t="s">
        <v>261</v>
      </c>
      <c r="AI89" t="s">
        <v>392</v>
      </c>
      <c r="AJ89" t="s">
        <v>48</v>
      </c>
    </row>
    <row r="90" spans="28:36">
      <c r="AB90" t="s">
        <v>209</v>
      </c>
      <c r="AC90" t="s">
        <v>218</v>
      </c>
      <c r="AD90" t="s">
        <v>223</v>
      </c>
      <c r="AE90" t="s">
        <v>224</v>
      </c>
      <c r="AF90" t="s">
        <v>48</v>
      </c>
      <c r="AH90" t="s">
        <v>70</v>
      </c>
      <c r="AI90" t="s">
        <v>472</v>
      </c>
      <c r="AJ90" t="s">
        <v>48</v>
      </c>
    </row>
    <row r="91" spans="28:36">
      <c r="AB91" t="s">
        <v>209</v>
      </c>
      <c r="AC91" t="s">
        <v>241</v>
      </c>
      <c r="AD91" t="s">
        <v>242</v>
      </c>
      <c r="AE91" t="s">
        <v>243</v>
      </c>
      <c r="AF91" t="s">
        <v>55</v>
      </c>
      <c r="AH91" t="s">
        <v>412</v>
      </c>
      <c r="AI91" t="s">
        <v>248</v>
      </c>
      <c r="AJ91" t="s">
        <v>48</v>
      </c>
    </row>
    <row r="92" spans="28:36">
      <c r="AB92" t="s">
        <v>209</v>
      </c>
      <c r="AC92" t="s">
        <v>225</v>
      </c>
      <c r="AD92" t="s">
        <v>232</v>
      </c>
      <c r="AE92" t="s">
        <v>233</v>
      </c>
      <c r="AF92" t="s">
        <v>48</v>
      </c>
      <c r="AH92" t="s">
        <v>73</v>
      </c>
      <c r="AI92" t="s">
        <v>303</v>
      </c>
      <c r="AJ92" t="s">
        <v>48</v>
      </c>
    </row>
    <row r="93" spans="28:36">
      <c r="AB93" t="s">
        <v>209</v>
      </c>
      <c r="AC93" t="s">
        <v>234</v>
      </c>
      <c r="AD93" t="s">
        <v>239</v>
      </c>
      <c r="AE93" t="s">
        <v>240</v>
      </c>
      <c r="AF93" t="s">
        <v>48</v>
      </c>
      <c r="AH93" t="s">
        <v>237</v>
      </c>
      <c r="AI93" t="s">
        <v>74</v>
      </c>
      <c r="AJ93" t="s">
        <v>48</v>
      </c>
    </row>
    <row r="94" spans="28:36">
      <c r="AB94" t="s">
        <v>209</v>
      </c>
      <c r="AC94" t="s">
        <v>241</v>
      </c>
      <c r="AD94" t="s">
        <v>244</v>
      </c>
      <c r="AE94" t="s">
        <v>245</v>
      </c>
      <c r="AF94" t="s">
        <v>48</v>
      </c>
      <c r="AH94" t="s">
        <v>164</v>
      </c>
      <c r="AI94" t="s">
        <v>322</v>
      </c>
      <c r="AJ94" t="s">
        <v>48</v>
      </c>
    </row>
    <row r="95" spans="28:36">
      <c r="AB95" t="s">
        <v>209</v>
      </c>
      <c r="AC95" t="s">
        <v>211</v>
      </c>
      <c r="AD95" t="s">
        <v>214</v>
      </c>
      <c r="AE95" t="s">
        <v>215</v>
      </c>
      <c r="AF95" t="s">
        <v>48</v>
      </c>
      <c r="AH95" t="s">
        <v>174</v>
      </c>
      <c r="AI95" t="s">
        <v>324</v>
      </c>
      <c r="AJ95" t="s">
        <v>48</v>
      </c>
    </row>
    <row r="96" spans="28:36">
      <c r="AB96" t="s">
        <v>209</v>
      </c>
      <c r="AC96" t="s">
        <v>263</v>
      </c>
      <c r="AD96" t="s">
        <v>266</v>
      </c>
      <c r="AE96" t="s">
        <v>267</v>
      </c>
      <c r="AF96" t="s">
        <v>48</v>
      </c>
      <c r="AH96" t="s">
        <v>95</v>
      </c>
      <c r="AI96" t="s">
        <v>326</v>
      </c>
      <c r="AJ96" t="s">
        <v>48</v>
      </c>
    </row>
    <row r="97" spans="28:36">
      <c r="AB97" t="s">
        <v>209</v>
      </c>
      <c r="AC97" t="s">
        <v>263</v>
      </c>
      <c r="AD97" t="s">
        <v>264</v>
      </c>
      <c r="AE97" t="s">
        <v>265</v>
      </c>
      <c r="AF97" t="s">
        <v>178</v>
      </c>
      <c r="AH97" t="s">
        <v>316</v>
      </c>
      <c r="AI97" t="s">
        <v>141</v>
      </c>
      <c r="AJ97" t="s">
        <v>48</v>
      </c>
    </row>
    <row r="98" spans="28:36">
      <c r="AB98" t="s">
        <v>209</v>
      </c>
      <c r="AC98" t="s">
        <v>272</v>
      </c>
      <c r="AD98" t="s">
        <v>279</v>
      </c>
      <c r="AE98" t="s">
        <v>280</v>
      </c>
      <c r="AF98" t="s">
        <v>48</v>
      </c>
      <c r="AH98" t="s">
        <v>61</v>
      </c>
      <c r="AI98" t="s">
        <v>432</v>
      </c>
      <c r="AJ98" t="s">
        <v>48</v>
      </c>
    </row>
    <row r="99" spans="28:36">
      <c r="AB99" t="s">
        <v>209</v>
      </c>
      <c r="AC99" t="s">
        <v>225</v>
      </c>
      <c r="AD99" t="s">
        <v>230</v>
      </c>
      <c r="AE99" t="s">
        <v>231</v>
      </c>
      <c r="AF99" t="s">
        <v>55</v>
      </c>
      <c r="AH99" t="s">
        <v>102</v>
      </c>
      <c r="AI99" t="s">
        <v>434</v>
      </c>
      <c r="AJ99" t="s">
        <v>48</v>
      </c>
    </row>
    <row r="100" spans="28:36">
      <c r="AB100" t="s">
        <v>209</v>
      </c>
      <c r="AC100" t="s">
        <v>272</v>
      </c>
      <c r="AD100" t="s">
        <v>273</v>
      </c>
      <c r="AE100" t="s">
        <v>274</v>
      </c>
      <c r="AF100" t="s">
        <v>55</v>
      </c>
      <c r="AH100" t="s">
        <v>429</v>
      </c>
      <c r="AI100" t="s">
        <v>64</v>
      </c>
      <c r="AJ100" t="s">
        <v>48</v>
      </c>
    </row>
    <row r="101" spans="28:36">
      <c r="AB101" t="s">
        <v>209</v>
      </c>
      <c r="AC101" t="s">
        <v>249</v>
      </c>
      <c r="AD101" t="s">
        <v>254</v>
      </c>
      <c r="AE101" t="s">
        <v>255</v>
      </c>
      <c r="AF101" t="s">
        <v>48</v>
      </c>
      <c r="AH101" t="s">
        <v>247</v>
      </c>
      <c r="AI101" t="s">
        <v>76</v>
      </c>
      <c r="AJ101" t="s">
        <v>48</v>
      </c>
    </row>
    <row r="102" spans="28:36">
      <c r="AB102" t="s">
        <v>209</v>
      </c>
      <c r="AC102" t="s">
        <v>234</v>
      </c>
      <c r="AD102" t="s">
        <v>235</v>
      </c>
      <c r="AE102" t="s">
        <v>236</v>
      </c>
      <c r="AF102" t="s">
        <v>88</v>
      </c>
      <c r="AH102" t="s">
        <v>370</v>
      </c>
      <c r="AI102" t="s">
        <v>436</v>
      </c>
      <c r="AJ102" t="s">
        <v>48</v>
      </c>
    </row>
    <row r="103" spans="28:36">
      <c r="AB103" t="s">
        <v>209</v>
      </c>
      <c r="AC103" t="s">
        <v>225</v>
      </c>
      <c r="AD103" t="s">
        <v>228</v>
      </c>
      <c r="AE103" t="s">
        <v>229</v>
      </c>
      <c r="AF103" t="s">
        <v>88</v>
      </c>
      <c r="AH103" t="s">
        <v>221</v>
      </c>
      <c r="AI103" t="s">
        <v>361</v>
      </c>
      <c r="AJ103" t="s">
        <v>48</v>
      </c>
    </row>
    <row r="104" spans="28:36">
      <c r="AB104" t="s">
        <v>209</v>
      </c>
      <c r="AC104" t="s">
        <v>287</v>
      </c>
      <c r="AD104" t="s">
        <v>288</v>
      </c>
      <c r="AE104" t="s">
        <v>289</v>
      </c>
      <c r="AF104" t="s">
        <v>55</v>
      </c>
      <c r="AH104" t="s">
        <v>223</v>
      </c>
      <c r="AI104" t="s">
        <v>339</v>
      </c>
      <c r="AJ104" t="s">
        <v>48</v>
      </c>
    </row>
    <row r="105" spans="28:36">
      <c r="AB105" t="s">
        <v>209</v>
      </c>
      <c r="AC105" t="s">
        <v>272</v>
      </c>
      <c r="AD105" t="s">
        <v>277</v>
      </c>
      <c r="AE105" t="s">
        <v>278</v>
      </c>
      <c r="AF105" t="s">
        <v>48</v>
      </c>
      <c r="AH105" t="s">
        <v>66</v>
      </c>
      <c r="AI105" t="s">
        <v>260</v>
      </c>
      <c r="AJ105" t="s">
        <v>48</v>
      </c>
    </row>
    <row r="106" spans="28:36">
      <c r="AB106" t="s">
        <v>209</v>
      </c>
      <c r="AC106" t="s">
        <v>218</v>
      </c>
      <c r="AD106" t="s">
        <v>219</v>
      </c>
      <c r="AE106" t="s">
        <v>220</v>
      </c>
      <c r="AF106" t="s">
        <v>88</v>
      </c>
      <c r="AH106" t="s">
        <v>81</v>
      </c>
      <c r="AI106" t="s">
        <v>262</v>
      </c>
      <c r="AJ106" t="s">
        <v>48</v>
      </c>
    </row>
    <row r="107" spans="28:36">
      <c r="AB107" t="s">
        <v>209</v>
      </c>
      <c r="AC107" t="s">
        <v>272</v>
      </c>
      <c r="AD107" t="s">
        <v>275</v>
      </c>
      <c r="AE107" t="s">
        <v>276</v>
      </c>
      <c r="AF107" t="s">
        <v>55</v>
      </c>
      <c r="AH107" t="s">
        <v>332</v>
      </c>
      <c r="AI107" t="s">
        <v>363</v>
      </c>
      <c r="AJ107" t="s">
        <v>48</v>
      </c>
    </row>
    <row r="108" spans="28:36">
      <c r="AB108" t="s">
        <v>296</v>
      </c>
      <c r="AC108" t="s">
        <v>298</v>
      </c>
      <c r="AD108" t="s">
        <v>299</v>
      </c>
      <c r="AE108" t="s">
        <v>300</v>
      </c>
      <c r="AF108" t="s">
        <v>55</v>
      </c>
      <c r="AH108" t="s">
        <v>364</v>
      </c>
      <c r="AI108" t="s">
        <v>112</v>
      </c>
      <c r="AJ108" t="s">
        <v>48</v>
      </c>
    </row>
    <row r="109" spans="28:36">
      <c r="AB109" t="s">
        <v>296</v>
      </c>
      <c r="AC109" t="s">
        <v>320</v>
      </c>
      <c r="AD109" t="s">
        <v>327</v>
      </c>
      <c r="AE109" t="s">
        <v>328</v>
      </c>
      <c r="AF109" t="s">
        <v>48</v>
      </c>
      <c r="AH109" t="s">
        <v>242</v>
      </c>
      <c r="AI109" t="s">
        <v>455</v>
      </c>
      <c r="AJ109" t="s">
        <v>48</v>
      </c>
    </row>
    <row r="110" spans="28:36">
      <c r="AB110" t="s">
        <v>296</v>
      </c>
      <c r="AC110" t="s">
        <v>301</v>
      </c>
      <c r="AD110" t="s">
        <v>302</v>
      </c>
      <c r="AE110" t="s">
        <v>303</v>
      </c>
      <c r="AF110" t="s">
        <v>48</v>
      </c>
      <c r="AH110" t="s">
        <v>445</v>
      </c>
      <c r="AI110" t="s">
        <v>438</v>
      </c>
      <c r="AJ110" t="s">
        <v>48</v>
      </c>
    </row>
    <row r="111" spans="28:36">
      <c r="AB111" t="s">
        <v>296</v>
      </c>
      <c r="AC111" t="s">
        <v>304</v>
      </c>
      <c r="AD111" t="s">
        <v>305</v>
      </c>
      <c r="AE111" t="s">
        <v>306</v>
      </c>
      <c r="AF111" t="s">
        <v>48</v>
      </c>
      <c r="AH111" t="s">
        <v>127</v>
      </c>
      <c r="AI111" t="s">
        <v>267</v>
      </c>
      <c r="AJ111" t="s">
        <v>72</v>
      </c>
    </row>
    <row r="112" spans="28:36">
      <c r="AB112" t="s">
        <v>296</v>
      </c>
      <c r="AC112" t="s">
        <v>329</v>
      </c>
      <c r="AD112" t="s">
        <v>338</v>
      </c>
      <c r="AE112" t="s">
        <v>339</v>
      </c>
      <c r="AF112" t="s">
        <v>48</v>
      </c>
      <c r="AH112" t="s">
        <v>437</v>
      </c>
      <c r="AI112" t="s">
        <v>269</v>
      </c>
      <c r="AJ112" t="s">
        <v>72</v>
      </c>
    </row>
    <row r="113" spans="28:36">
      <c r="AB113" t="s">
        <v>296</v>
      </c>
      <c r="AC113" t="s">
        <v>304</v>
      </c>
      <c r="AD113" t="s">
        <v>307</v>
      </c>
      <c r="AE113" t="s">
        <v>308</v>
      </c>
      <c r="AF113" t="s">
        <v>48</v>
      </c>
      <c r="AH113" t="s">
        <v>232</v>
      </c>
      <c r="AI113" t="s">
        <v>202</v>
      </c>
      <c r="AJ113" t="s">
        <v>72</v>
      </c>
    </row>
    <row r="114" spans="28:36">
      <c r="AB114" t="s">
        <v>296</v>
      </c>
      <c r="AC114" t="s">
        <v>329</v>
      </c>
      <c r="AD114" t="s">
        <v>330</v>
      </c>
      <c r="AE114" t="s">
        <v>331</v>
      </c>
      <c r="AF114" t="s">
        <v>48</v>
      </c>
      <c r="AH114" t="s">
        <v>203</v>
      </c>
      <c r="AI114" t="s">
        <v>204</v>
      </c>
      <c r="AJ114" t="s">
        <v>72</v>
      </c>
    </row>
    <row r="115" spans="28:36">
      <c r="AB115" t="s">
        <v>296</v>
      </c>
      <c r="AC115" t="s">
        <v>320</v>
      </c>
      <c r="AD115" t="s">
        <v>321</v>
      </c>
      <c r="AE115" t="s">
        <v>322</v>
      </c>
      <c r="AF115" t="s">
        <v>48</v>
      </c>
      <c r="AH115" t="s">
        <v>125</v>
      </c>
      <c r="AI115" t="s">
        <v>365</v>
      </c>
      <c r="AJ115" t="s">
        <v>72</v>
      </c>
    </row>
    <row r="116" spans="28:36">
      <c r="AB116" t="s">
        <v>296</v>
      </c>
      <c r="AC116" t="s">
        <v>320</v>
      </c>
      <c r="AD116" t="s">
        <v>323</v>
      </c>
      <c r="AE116" t="s">
        <v>324</v>
      </c>
      <c r="AF116" t="s">
        <v>55</v>
      </c>
      <c r="AH116" t="s">
        <v>439</v>
      </c>
      <c r="AI116" t="s">
        <v>191</v>
      </c>
      <c r="AJ116" t="s">
        <v>72</v>
      </c>
    </row>
    <row r="117" spans="28:36">
      <c r="AB117" t="s">
        <v>296</v>
      </c>
      <c r="AC117" t="s">
        <v>309</v>
      </c>
      <c r="AD117" t="s">
        <v>316</v>
      </c>
      <c r="AE117" t="s">
        <v>317</v>
      </c>
      <c r="AF117" t="s">
        <v>48</v>
      </c>
      <c r="AH117" t="s">
        <v>351</v>
      </c>
      <c r="AI117" t="s">
        <v>175</v>
      </c>
      <c r="AJ117" t="s">
        <v>72</v>
      </c>
    </row>
    <row r="118" spans="28:36">
      <c r="AB118" t="s">
        <v>296</v>
      </c>
      <c r="AC118" t="s">
        <v>329</v>
      </c>
      <c r="AD118" t="s">
        <v>332</v>
      </c>
      <c r="AE118" t="s">
        <v>333</v>
      </c>
      <c r="AF118" t="s">
        <v>55</v>
      </c>
      <c r="AH118" t="s">
        <v>53</v>
      </c>
      <c r="AI118" t="s">
        <v>415</v>
      </c>
      <c r="AJ118" t="s">
        <v>72</v>
      </c>
    </row>
    <row r="119" spans="28:36">
      <c r="AB119" t="s">
        <v>296</v>
      </c>
      <c r="AC119" t="s">
        <v>309</v>
      </c>
      <c r="AD119" t="s">
        <v>318</v>
      </c>
      <c r="AE119" t="s">
        <v>319</v>
      </c>
      <c r="AF119" t="s">
        <v>48</v>
      </c>
      <c r="AH119" t="s">
        <v>452</v>
      </c>
      <c r="AI119" t="s">
        <v>206</v>
      </c>
      <c r="AJ119" t="s">
        <v>72</v>
      </c>
    </row>
    <row r="120" spans="28:36">
      <c r="AB120" t="s">
        <v>296</v>
      </c>
      <c r="AC120" t="s">
        <v>309</v>
      </c>
      <c r="AD120" t="s">
        <v>310</v>
      </c>
      <c r="AE120" t="s">
        <v>311</v>
      </c>
      <c r="AF120" t="s">
        <v>48</v>
      </c>
      <c r="AH120" t="s">
        <v>140</v>
      </c>
      <c r="AI120" t="s">
        <v>138</v>
      </c>
      <c r="AJ120" t="s">
        <v>72</v>
      </c>
    </row>
    <row r="121" spans="28:36">
      <c r="AB121" t="s">
        <v>296</v>
      </c>
      <c r="AC121" t="s">
        <v>309</v>
      </c>
      <c r="AD121" t="s">
        <v>314</v>
      </c>
      <c r="AE121" t="s">
        <v>315</v>
      </c>
      <c r="AF121" t="s">
        <v>55</v>
      </c>
      <c r="AH121" t="s">
        <v>118</v>
      </c>
      <c r="AI121" t="s">
        <v>78</v>
      </c>
      <c r="AJ121" t="s">
        <v>72</v>
      </c>
    </row>
    <row r="122" spans="28:36">
      <c r="AB122" t="s">
        <v>296</v>
      </c>
      <c r="AC122" t="s">
        <v>320</v>
      </c>
      <c r="AD122" t="s">
        <v>325</v>
      </c>
      <c r="AE122" t="s">
        <v>326</v>
      </c>
      <c r="AF122" t="s">
        <v>88</v>
      </c>
      <c r="AH122" t="s">
        <v>98</v>
      </c>
      <c r="AI122" t="s">
        <v>92</v>
      </c>
      <c r="AJ122" t="s">
        <v>72</v>
      </c>
    </row>
    <row r="123" spans="28:36">
      <c r="AB123" t="s">
        <v>296</v>
      </c>
      <c r="AC123" t="s">
        <v>309</v>
      </c>
      <c r="AD123" t="s">
        <v>312</v>
      </c>
      <c r="AE123" t="s">
        <v>313</v>
      </c>
      <c r="AF123" t="s">
        <v>88</v>
      </c>
      <c r="AH123" t="s">
        <v>156</v>
      </c>
      <c r="AI123" t="s">
        <v>123</v>
      </c>
      <c r="AJ123" t="s">
        <v>178</v>
      </c>
    </row>
    <row r="124" spans="28:36">
      <c r="AB124" t="s">
        <v>296</v>
      </c>
      <c r="AC124" t="s">
        <v>329</v>
      </c>
      <c r="AD124" t="s">
        <v>336</v>
      </c>
      <c r="AE124" t="s">
        <v>337</v>
      </c>
      <c r="AF124" t="s">
        <v>178</v>
      </c>
      <c r="AH124" t="s">
        <v>435</v>
      </c>
      <c r="AI124" t="s">
        <v>280</v>
      </c>
      <c r="AJ124" t="s">
        <v>178</v>
      </c>
    </row>
    <row r="125" spans="28:36">
      <c r="AB125" t="s">
        <v>296</v>
      </c>
      <c r="AC125" t="s">
        <v>329</v>
      </c>
      <c r="AD125" t="s">
        <v>334</v>
      </c>
      <c r="AE125" t="s">
        <v>335</v>
      </c>
      <c r="AF125" t="s">
        <v>88</v>
      </c>
      <c r="AH125" t="s">
        <v>393</v>
      </c>
      <c r="AI125" t="s">
        <v>417</v>
      </c>
      <c r="AJ125" t="s">
        <v>178</v>
      </c>
    </row>
    <row r="126" spans="28:36">
      <c r="AB126" t="s">
        <v>340</v>
      </c>
      <c r="AC126" t="s">
        <v>353</v>
      </c>
      <c r="AD126" t="s">
        <v>358</v>
      </c>
      <c r="AE126" t="s">
        <v>359</v>
      </c>
      <c r="AF126" t="s">
        <v>48</v>
      </c>
      <c r="AH126" t="s">
        <v>194</v>
      </c>
      <c r="AI126" t="s">
        <v>419</v>
      </c>
      <c r="AJ126" t="s">
        <v>178</v>
      </c>
    </row>
    <row r="127" spans="28:36">
      <c r="AB127" t="s">
        <v>340</v>
      </c>
      <c r="AC127" t="s">
        <v>372</v>
      </c>
      <c r="AD127" t="s">
        <v>405</v>
      </c>
      <c r="AE127" t="s">
        <v>406</v>
      </c>
      <c r="AF127" t="s">
        <v>48</v>
      </c>
      <c r="AH127" t="s">
        <v>389</v>
      </c>
      <c r="AI127" t="s">
        <v>421</v>
      </c>
      <c r="AJ127" t="s">
        <v>178</v>
      </c>
    </row>
    <row r="128" spans="28:36">
      <c r="AB128" t="s">
        <v>340</v>
      </c>
      <c r="AC128" t="s">
        <v>372</v>
      </c>
      <c r="AD128" t="s">
        <v>395</v>
      </c>
      <c r="AE128" t="s">
        <v>396</v>
      </c>
      <c r="AF128" t="s">
        <v>48</v>
      </c>
      <c r="AH128" t="s">
        <v>347</v>
      </c>
      <c r="AI128" t="s">
        <v>271</v>
      </c>
      <c r="AJ128" t="s">
        <v>178</v>
      </c>
    </row>
    <row r="129" spans="28:36">
      <c r="AB129" t="s">
        <v>340</v>
      </c>
      <c r="AC129" t="s">
        <v>372</v>
      </c>
      <c r="AD129" t="s">
        <v>383</v>
      </c>
      <c r="AE129" t="s">
        <v>384</v>
      </c>
      <c r="AF129" t="s">
        <v>72</v>
      </c>
      <c r="AH129" t="s">
        <v>450</v>
      </c>
      <c r="AI129" t="s">
        <v>251</v>
      </c>
      <c r="AJ129" t="s">
        <v>178</v>
      </c>
    </row>
    <row r="130" spans="28:36">
      <c r="AB130" t="s">
        <v>340</v>
      </c>
      <c r="AC130" t="s">
        <v>372</v>
      </c>
      <c r="AD130" t="s">
        <v>373</v>
      </c>
      <c r="AE130" t="s">
        <v>374</v>
      </c>
      <c r="AF130" t="s">
        <v>48</v>
      </c>
      <c r="AH130" t="s">
        <v>239</v>
      </c>
      <c r="AI130" t="s">
        <v>193</v>
      </c>
      <c r="AJ130" t="s">
        <v>88</v>
      </c>
    </row>
    <row r="131" spans="28:36">
      <c r="AB131" t="s">
        <v>340</v>
      </c>
      <c r="AC131" t="s">
        <v>372</v>
      </c>
      <c r="AD131" t="s">
        <v>391</v>
      </c>
      <c r="AE131" t="s">
        <v>392</v>
      </c>
      <c r="AF131" t="s">
        <v>48</v>
      </c>
      <c r="AH131" t="s">
        <v>244</v>
      </c>
      <c r="AI131" t="s">
        <v>131</v>
      </c>
      <c r="AJ131" t="s">
        <v>88</v>
      </c>
    </row>
    <row r="132" spans="28:36">
      <c r="AB132" t="s">
        <v>340</v>
      </c>
      <c r="AC132" t="s">
        <v>353</v>
      </c>
      <c r="AD132" t="s">
        <v>368</v>
      </c>
      <c r="AE132" t="s">
        <v>369</v>
      </c>
      <c r="AF132" t="s">
        <v>72</v>
      </c>
      <c r="AH132" t="s">
        <v>162</v>
      </c>
      <c r="AI132" t="s">
        <v>208</v>
      </c>
      <c r="AJ132" t="s">
        <v>88</v>
      </c>
    </row>
    <row r="133" spans="28:36">
      <c r="AB133" t="s">
        <v>340</v>
      </c>
      <c r="AC133" t="s">
        <v>372</v>
      </c>
      <c r="AD133" t="s">
        <v>385</v>
      </c>
      <c r="AE133" t="s">
        <v>386</v>
      </c>
      <c r="AF133" t="s">
        <v>48</v>
      </c>
      <c r="AH133" t="s">
        <v>318</v>
      </c>
      <c r="AI133" t="s">
        <v>177</v>
      </c>
      <c r="AJ133" t="s">
        <v>88</v>
      </c>
    </row>
    <row r="134" spans="28:36">
      <c r="AB134" t="s">
        <v>340</v>
      </c>
      <c r="AC134" t="s">
        <v>372</v>
      </c>
      <c r="AD134" t="s">
        <v>397</v>
      </c>
      <c r="AE134" t="s">
        <v>398</v>
      </c>
      <c r="AF134" t="s">
        <v>72</v>
      </c>
      <c r="AH134" t="s">
        <v>310</v>
      </c>
      <c r="AI134" t="s">
        <v>54</v>
      </c>
      <c r="AJ134" t="s">
        <v>88</v>
      </c>
    </row>
    <row r="135" spans="28:36">
      <c r="AB135" t="s">
        <v>340</v>
      </c>
      <c r="AC135" t="s">
        <v>372</v>
      </c>
      <c r="AD135" t="s">
        <v>387</v>
      </c>
      <c r="AE135" t="s">
        <v>388</v>
      </c>
      <c r="AF135" t="s">
        <v>72</v>
      </c>
      <c r="AH135" t="s">
        <v>59</v>
      </c>
      <c r="AI135" t="s">
        <v>440</v>
      </c>
      <c r="AJ135" t="s">
        <v>88</v>
      </c>
    </row>
    <row r="136" spans="28:36">
      <c r="AB136" t="s">
        <v>340</v>
      </c>
      <c r="AC136" t="s">
        <v>372</v>
      </c>
      <c r="AD136" t="s">
        <v>399</v>
      </c>
      <c r="AE136" t="s">
        <v>400</v>
      </c>
      <c r="AF136" t="s">
        <v>72</v>
      </c>
      <c r="AH136" t="s">
        <v>214</v>
      </c>
      <c r="AI136" t="s">
        <v>442</v>
      </c>
      <c r="AJ136" t="s">
        <v>88</v>
      </c>
    </row>
    <row r="137" spans="28:36">
      <c r="AB137" t="s">
        <v>340</v>
      </c>
      <c r="AC137" t="s">
        <v>372</v>
      </c>
      <c r="AD137" t="s">
        <v>381</v>
      </c>
      <c r="AE137" t="s">
        <v>382</v>
      </c>
      <c r="AF137" t="s">
        <v>48</v>
      </c>
      <c r="AH137" t="s">
        <v>314</v>
      </c>
      <c r="AI137" t="s">
        <v>293</v>
      </c>
      <c r="AJ137" t="s">
        <v>88</v>
      </c>
    </row>
    <row r="138" spans="28:36">
      <c r="AB138" t="s">
        <v>340</v>
      </c>
      <c r="AC138" t="s">
        <v>372</v>
      </c>
      <c r="AD138" t="s">
        <v>379</v>
      </c>
      <c r="AE138" t="s">
        <v>380</v>
      </c>
      <c r="AF138" t="s">
        <v>48</v>
      </c>
      <c r="AH138" t="s">
        <v>109</v>
      </c>
      <c r="AI138" t="s">
        <v>103</v>
      </c>
      <c r="AJ138" t="s">
        <v>88</v>
      </c>
    </row>
    <row r="139" spans="28:36">
      <c r="AB139" t="s">
        <v>340</v>
      </c>
      <c r="AC139" t="s">
        <v>353</v>
      </c>
      <c r="AD139" t="s">
        <v>362</v>
      </c>
      <c r="AE139" t="s">
        <v>363</v>
      </c>
      <c r="AF139" t="s">
        <v>48</v>
      </c>
      <c r="AH139" t="s">
        <v>401</v>
      </c>
      <c r="AI139" t="s">
        <v>474</v>
      </c>
      <c r="AJ139" t="s">
        <v>88</v>
      </c>
    </row>
    <row r="140" spans="28:36">
      <c r="AB140" t="s">
        <v>340</v>
      </c>
      <c r="AC140" t="s">
        <v>353</v>
      </c>
      <c r="AD140" t="s">
        <v>354</v>
      </c>
      <c r="AE140" t="s">
        <v>355</v>
      </c>
      <c r="AF140" t="s">
        <v>48</v>
      </c>
      <c r="AH140" t="s">
        <v>167</v>
      </c>
      <c r="AI140" t="s">
        <v>195</v>
      </c>
      <c r="AJ140" t="s">
        <v>88</v>
      </c>
    </row>
    <row r="141" spans="28:36">
      <c r="AB141" t="s">
        <v>340</v>
      </c>
      <c r="AC141" t="s">
        <v>353</v>
      </c>
      <c r="AD141" t="s">
        <v>366</v>
      </c>
      <c r="AE141" t="s">
        <v>367</v>
      </c>
      <c r="AF141" t="s">
        <v>48</v>
      </c>
      <c r="AH141" t="s">
        <v>465</v>
      </c>
      <c r="AI141" t="s">
        <v>394</v>
      </c>
      <c r="AJ141" t="s">
        <v>88</v>
      </c>
    </row>
    <row r="142" spans="28:36">
      <c r="AB142" t="s">
        <v>340</v>
      </c>
      <c r="AC142" t="s">
        <v>353</v>
      </c>
      <c r="AD142" t="s">
        <v>370</v>
      </c>
      <c r="AE142" t="s">
        <v>371</v>
      </c>
      <c r="AF142" t="s">
        <v>48</v>
      </c>
      <c r="AH142" t="s">
        <v>266</v>
      </c>
      <c r="AI142" t="s">
        <v>105</v>
      </c>
      <c r="AJ142" t="s">
        <v>88</v>
      </c>
    </row>
    <row r="143" spans="28:36">
      <c r="AB143" t="s">
        <v>340</v>
      </c>
      <c r="AC143" t="s">
        <v>353</v>
      </c>
      <c r="AD143" t="s">
        <v>364</v>
      </c>
      <c r="AE143" t="s">
        <v>365</v>
      </c>
      <c r="AF143" t="s">
        <v>55</v>
      </c>
      <c r="AH143" t="s">
        <v>181</v>
      </c>
      <c r="AI143" t="s">
        <v>396</v>
      </c>
      <c r="AJ143" t="s">
        <v>88</v>
      </c>
    </row>
    <row r="144" spans="28:36">
      <c r="AB144" t="s">
        <v>340</v>
      </c>
      <c r="AC144" t="s">
        <v>342</v>
      </c>
      <c r="AD144" t="s">
        <v>351</v>
      </c>
      <c r="AE144" t="s">
        <v>352</v>
      </c>
      <c r="AF144" t="s">
        <v>48</v>
      </c>
      <c r="AH144" t="s">
        <v>443</v>
      </c>
      <c r="AI144" t="s">
        <v>180</v>
      </c>
      <c r="AJ144" t="s">
        <v>55</v>
      </c>
    </row>
    <row r="145" spans="28:36">
      <c r="AB145" t="s">
        <v>340</v>
      </c>
      <c r="AC145" t="s">
        <v>372</v>
      </c>
      <c r="AD145" t="s">
        <v>393</v>
      </c>
      <c r="AE145" t="s">
        <v>394</v>
      </c>
      <c r="AF145" t="s">
        <v>48</v>
      </c>
      <c r="AH145" t="s">
        <v>427</v>
      </c>
      <c r="AI145" t="s">
        <v>182</v>
      </c>
      <c r="AJ145" t="s">
        <v>55</v>
      </c>
    </row>
    <row r="146" spans="28:36">
      <c r="AB146" t="s">
        <v>340</v>
      </c>
      <c r="AC146" t="s">
        <v>372</v>
      </c>
      <c r="AD146" t="s">
        <v>389</v>
      </c>
      <c r="AE146" t="s">
        <v>390</v>
      </c>
      <c r="AF146" t="s">
        <v>55</v>
      </c>
      <c r="AH146" t="s">
        <v>433</v>
      </c>
      <c r="AI146" t="s">
        <v>367</v>
      </c>
      <c r="AJ146" t="s">
        <v>55</v>
      </c>
    </row>
    <row r="147" spans="28:36">
      <c r="AB147" t="s">
        <v>340</v>
      </c>
      <c r="AC147" t="s">
        <v>342</v>
      </c>
      <c r="AD147" t="s">
        <v>347</v>
      </c>
      <c r="AE147" t="s">
        <v>348</v>
      </c>
      <c r="AF147" t="s">
        <v>55</v>
      </c>
      <c r="AH147" t="s">
        <v>360</v>
      </c>
      <c r="AI147" t="s">
        <v>80</v>
      </c>
      <c r="AJ147" t="s">
        <v>55</v>
      </c>
    </row>
    <row r="148" spans="28:36">
      <c r="AB148" t="s">
        <v>340</v>
      </c>
      <c r="AC148" t="s">
        <v>372</v>
      </c>
      <c r="AD148" t="s">
        <v>401</v>
      </c>
      <c r="AE148" t="s">
        <v>402</v>
      </c>
      <c r="AF148" t="s">
        <v>48</v>
      </c>
      <c r="AH148" t="s">
        <v>475</v>
      </c>
      <c r="AI148" t="s">
        <v>444</v>
      </c>
      <c r="AJ148" t="s">
        <v>55</v>
      </c>
    </row>
    <row r="149" spans="28:36">
      <c r="AB149" t="s">
        <v>340</v>
      </c>
      <c r="AC149" t="s">
        <v>353</v>
      </c>
      <c r="AD149" t="s">
        <v>360</v>
      </c>
      <c r="AE149" t="s">
        <v>361</v>
      </c>
      <c r="AF149" t="s">
        <v>178</v>
      </c>
      <c r="AH149" t="s">
        <v>264</v>
      </c>
      <c r="AI149" t="s">
        <v>369</v>
      </c>
      <c r="AJ149" t="s">
        <v>55</v>
      </c>
    </row>
    <row r="150" spans="28:36">
      <c r="AB150" t="s">
        <v>340</v>
      </c>
      <c r="AC150" t="s">
        <v>372</v>
      </c>
      <c r="AD150" t="s">
        <v>377</v>
      </c>
      <c r="AE150" t="s">
        <v>378</v>
      </c>
      <c r="AF150" t="s">
        <v>55</v>
      </c>
      <c r="AH150" t="s">
        <v>377</v>
      </c>
      <c r="AI150" t="s">
        <v>398</v>
      </c>
      <c r="AJ150" t="s">
        <v>55</v>
      </c>
    </row>
    <row r="151" spans="28:36">
      <c r="AB151" t="s">
        <v>340</v>
      </c>
      <c r="AC151" t="s">
        <v>342</v>
      </c>
      <c r="AD151" t="s">
        <v>343</v>
      </c>
      <c r="AE151" t="s">
        <v>344</v>
      </c>
      <c r="AF151" t="s">
        <v>48</v>
      </c>
      <c r="AH151" t="s">
        <v>172</v>
      </c>
      <c r="AI151" t="s">
        <v>282</v>
      </c>
      <c r="AJ151" t="s">
        <v>55</v>
      </c>
    </row>
    <row r="152" spans="28:36">
      <c r="AB152" t="s">
        <v>340</v>
      </c>
      <c r="AC152" t="s">
        <v>342</v>
      </c>
      <c r="AD152" t="s">
        <v>349</v>
      </c>
      <c r="AE152" t="s">
        <v>350</v>
      </c>
      <c r="AF152" t="s">
        <v>48</v>
      </c>
      <c r="AH152" t="s">
        <v>414</v>
      </c>
      <c r="AI152" t="s">
        <v>94</v>
      </c>
      <c r="AJ152" t="s">
        <v>55</v>
      </c>
    </row>
    <row r="153" spans="28:36">
      <c r="AB153" t="s">
        <v>340</v>
      </c>
      <c r="AC153" t="s">
        <v>342</v>
      </c>
      <c r="AD153" t="s">
        <v>345</v>
      </c>
      <c r="AE153" t="s">
        <v>346</v>
      </c>
      <c r="AF153" t="s">
        <v>48</v>
      </c>
      <c r="AH153" t="s">
        <v>471</v>
      </c>
      <c r="AI153" t="s">
        <v>446</v>
      </c>
      <c r="AJ153" t="s">
        <v>55</v>
      </c>
    </row>
    <row r="154" spans="28:36">
      <c r="AB154" t="s">
        <v>340</v>
      </c>
      <c r="AC154" t="s">
        <v>353</v>
      </c>
      <c r="AD154" t="s">
        <v>356</v>
      </c>
      <c r="AE154" t="s">
        <v>357</v>
      </c>
      <c r="AF154" t="s">
        <v>55</v>
      </c>
      <c r="AH154" t="s">
        <v>473</v>
      </c>
      <c r="AI154" t="s">
        <v>317</v>
      </c>
      <c r="AJ154" t="s">
        <v>55</v>
      </c>
    </row>
    <row r="155" spans="28:36">
      <c r="AB155" t="s">
        <v>340</v>
      </c>
      <c r="AC155" t="s">
        <v>372</v>
      </c>
      <c r="AD155" t="s">
        <v>375</v>
      </c>
      <c r="AE155" t="s">
        <v>376</v>
      </c>
      <c r="AF155" t="s">
        <v>88</v>
      </c>
      <c r="AH155" t="s">
        <v>279</v>
      </c>
      <c r="AI155" t="s">
        <v>328</v>
      </c>
      <c r="AJ155" t="s">
        <v>55</v>
      </c>
    </row>
    <row r="156" spans="28:36">
      <c r="AB156" t="s">
        <v>340</v>
      </c>
      <c r="AC156" t="s">
        <v>372</v>
      </c>
      <c r="AD156" t="s">
        <v>403</v>
      </c>
      <c r="AE156" t="s">
        <v>404</v>
      </c>
      <c r="AF156" t="s">
        <v>88</v>
      </c>
      <c r="AH156" t="s">
        <v>343</v>
      </c>
      <c r="AI156" t="s">
        <v>253</v>
      </c>
      <c r="AJ156" t="s">
        <v>55</v>
      </c>
    </row>
    <row r="157" spans="28:36">
      <c r="AB157" t="s">
        <v>407</v>
      </c>
      <c r="AC157" t="s">
        <v>424</v>
      </c>
      <c r="AD157" t="s">
        <v>441</v>
      </c>
      <c r="AE157" t="s">
        <v>442</v>
      </c>
      <c r="AF157" t="s">
        <v>48</v>
      </c>
      <c r="AH157" t="s">
        <v>230</v>
      </c>
      <c r="AI157" t="s">
        <v>423</v>
      </c>
      <c r="AJ157" t="s">
        <v>55</v>
      </c>
    </row>
    <row r="158" spans="28:36">
      <c r="AB158" t="s">
        <v>407</v>
      </c>
      <c r="AC158" t="s">
        <v>458</v>
      </c>
      <c r="AD158" t="s">
        <v>463</v>
      </c>
      <c r="AE158" t="s">
        <v>464</v>
      </c>
      <c r="AF158" t="s">
        <v>48</v>
      </c>
      <c r="AH158" t="s">
        <v>349</v>
      </c>
      <c r="AI158" t="s">
        <v>96</v>
      </c>
      <c r="AJ158" t="s">
        <v>55</v>
      </c>
    </row>
    <row r="159" spans="28:36">
      <c r="AB159" t="s">
        <v>407</v>
      </c>
      <c r="AC159" t="s">
        <v>447</v>
      </c>
      <c r="AD159" t="s">
        <v>456</v>
      </c>
      <c r="AE159" t="s">
        <v>457</v>
      </c>
      <c r="AF159" t="s">
        <v>48</v>
      </c>
      <c r="AH159" t="s">
        <v>425</v>
      </c>
      <c r="AI159" t="s">
        <v>222</v>
      </c>
      <c r="AJ159" t="s">
        <v>55</v>
      </c>
    </row>
    <row r="160" spans="28:36">
      <c r="AB160" t="s">
        <v>407</v>
      </c>
      <c r="AC160" t="s">
        <v>447</v>
      </c>
      <c r="AD160" t="s">
        <v>448</v>
      </c>
      <c r="AE160" t="s">
        <v>449</v>
      </c>
      <c r="AF160" t="s">
        <v>48</v>
      </c>
      <c r="AH160" t="s">
        <v>199</v>
      </c>
      <c r="AI160" t="s">
        <v>284</v>
      </c>
      <c r="AJ160" t="s">
        <v>55</v>
      </c>
    </row>
    <row r="161" spans="28:36">
      <c r="AB161" t="s">
        <v>407</v>
      </c>
      <c r="AC161" t="s">
        <v>458</v>
      </c>
      <c r="AD161" t="s">
        <v>459</v>
      </c>
      <c r="AE161" t="s">
        <v>460</v>
      </c>
      <c r="AF161" t="s">
        <v>48</v>
      </c>
      <c r="AH161" t="s">
        <v>345</v>
      </c>
      <c r="AI161" t="s">
        <v>255</v>
      </c>
      <c r="AJ161" t="s">
        <v>55</v>
      </c>
    </row>
    <row r="162" spans="28:36">
      <c r="AB162" t="s">
        <v>407</v>
      </c>
      <c r="AC162" t="s">
        <v>409</v>
      </c>
      <c r="AD162" t="s">
        <v>416</v>
      </c>
      <c r="AE162" t="s">
        <v>417</v>
      </c>
      <c r="AF162" t="s">
        <v>48</v>
      </c>
      <c r="AH162" t="s">
        <v>273</v>
      </c>
      <c r="AI162" t="s">
        <v>400</v>
      </c>
      <c r="AJ162" t="s">
        <v>55</v>
      </c>
    </row>
    <row r="163" spans="28:36">
      <c r="AB163" t="s">
        <v>407</v>
      </c>
      <c r="AC163" t="s">
        <v>409</v>
      </c>
      <c r="AD163" t="s">
        <v>410</v>
      </c>
      <c r="AE163" t="s">
        <v>411</v>
      </c>
      <c r="AF163" t="s">
        <v>48</v>
      </c>
      <c r="AH163" t="s">
        <v>356</v>
      </c>
      <c r="AI163" t="s">
        <v>114</v>
      </c>
      <c r="AJ163" t="s">
        <v>55</v>
      </c>
    </row>
    <row r="164" spans="28:36">
      <c r="AB164" t="s">
        <v>407</v>
      </c>
      <c r="AC164" t="s">
        <v>409</v>
      </c>
      <c r="AD164" t="s">
        <v>422</v>
      </c>
      <c r="AE164" t="s">
        <v>423</v>
      </c>
      <c r="AF164" t="s">
        <v>48</v>
      </c>
      <c r="AH164" t="s">
        <v>254</v>
      </c>
      <c r="AI164" t="s">
        <v>240</v>
      </c>
      <c r="AJ164" t="s">
        <v>55</v>
      </c>
    </row>
    <row r="165" spans="28:36">
      <c r="AB165" t="s">
        <v>407</v>
      </c>
      <c r="AC165" t="s">
        <v>458</v>
      </c>
      <c r="AD165" t="s">
        <v>467</v>
      </c>
      <c r="AE165" t="s">
        <v>468</v>
      </c>
      <c r="AF165" t="s">
        <v>55</v>
      </c>
      <c r="AH165" t="s">
        <v>158</v>
      </c>
      <c r="AI165" t="s">
        <v>82</v>
      </c>
      <c r="AJ165" t="s">
        <v>55</v>
      </c>
    </row>
    <row r="166" spans="28:36">
      <c r="AB166" t="s">
        <v>407</v>
      </c>
      <c r="AC166" t="s">
        <v>409</v>
      </c>
      <c r="AD166" t="s">
        <v>420</v>
      </c>
      <c r="AE166" t="s">
        <v>421</v>
      </c>
      <c r="AF166" t="s">
        <v>48</v>
      </c>
      <c r="AH166" t="s">
        <v>375</v>
      </c>
      <c r="AI166" t="s">
        <v>197</v>
      </c>
      <c r="AJ166" t="s">
        <v>55</v>
      </c>
    </row>
    <row r="167" spans="28:36">
      <c r="AB167" t="s">
        <v>407</v>
      </c>
      <c r="AC167" t="s">
        <v>447</v>
      </c>
      <c r="AD167" t="s">
        <v>454</v>
      </c>
      <c r="AE167" t="s">
        <v>455</v>
      </c>
      <c r="AF167" t="s">
        <v>48</v>
      </c>
      <c r="AH167" t="s">
        <v>325</v>
      </c>
      <c r="AI167" t="s">
        <v>224</v>
      </c>
      <c r="AJ167" t="s">
        <v>55</v>
      </c>
    </row>
    <row r="168" spans="28:36">
      <c r="AB168" t="s">
        <v>407</v>
      </c>
      <c r="AC168" t="s">
        <v>424</v>
      </c>
      <c r="AD168" t="s">
        <v>431</v>
      </c>
      <c r="AE168" t="s">
        <v>432</v>
      </c>
      <c r="AF168" t="s">
        <v>48</v>
      </c>
      <c r="AH168" t="s">
        <v>312</v>
      </c>
      <c r="AI168" t="s">
        <v>143</v>
      </c>
      <c r="AJ168" t="s">
        <v>55</v>
      </c>
    </row>
    <row r="169" spans="28:36">
      <c r="AB169" t="s">
        <v>407</v>
      </c>
      <c r="AC169" t="s">
        <v>409</v>
      </c>
      <c r="AD169" t="s">
        <v>412</v>
      </c>
      <c r="AE169" t="s">
        <v>413</v>
      </c>
      <c r="AF169" t="s">
        <v>48</v>
      </c>
      <c r="AH169" t="s">
        <v>235</v>
      </c>
      <c r="AI169" t="s">
        <v>295</v>
      </c>
      <c r="AJ169" t="s">
        <v>55</v>
      </c>
    </row>
    <row r="170" spans="28:36">
      <c r="AB170" t="s">
        <v>407</v>
      </c>
      <c r="AC170" t="s">
        <v>424</v>
      </c>
      <c r="AD170" t="s">
        <v>429</v>
      </c>
      <c r="AE170" t="s">
        <v>430</v>
      </c>
      <c r="AF170" t="s">
        <v>48</v>
      </c>
      <c r="AH170" t="s">
        <v>469</v>
      </c>
      <c r="AI170" t="s">
        <v>150</v>
      </c>
      <c r="AJ170" t="s">
        <v>55</v>
      </c>
    </row>
    <row r="171" spans="28:36">
      <c r="AB171" t="s">
        <v>407</v>
      </c>
      <c r="AC171" t="s">
        <v>424</v>
      </c>
      <c r="AD171" t="s">
        <v>445</v>
      </c>
      <c r="AE171" t="s">
        <v>446</v>
      </c>
      <c r="AF171" t="s">
        <v>48</v>
      </c>
      <c r="AH171" t="s">
        <v>403</v>
      </c>
      <c r="AI171" t="s">
        <v>233</v>
      </c>
      <c r="AJ171" t="s">
        <v>55</v>
      </c>
    </row>
    <row r="172" spans="28:36">
      <c r="AB172" t="s">
        <v>407</v>
      </c>
      <c r="AC172" t="s">
        <v>424</v>
      </c>
      <c r="AD172" t="s">
        <v>437</v>
      </c>
      <c r="AE172" t="s">
        <v>438</v>
      </c>
      <c r="AF172" t="s">
        <v>48</v>
      </c>
      <c r="AH172" t="s">
        <v>228</v>
      </c>
      <c r="AI172" t="s">
        <v>245</v>
      </c>
      <c r="AJ172" t="s">
        <v>55</v>
      </c>
    </row>
    <row r="173" spans="28:36">
      <c r="AB173" t="s">
        <v>407</v>
      </c>
      <c r="AC173" t="s">
        <v>424</v>
      </c>
      <c r="AD173" t="s">
        <v>439</v>
      </c>
      <c r="AE173" t="s">
        <v>440</v>
      </c>
      <c r="AF173" t="s">
        <v>48</v>
      </c>
      <c r="AH173" t="s">
        <v>100</v>
      </c>
      <c r="AI173" t="s">
        <v>352</v>
      </c>
      <c r="AJ173" t="s">
        <v>55</v>
      </c>
    </row>
    <row r="174" spans="28:36">
      <c r="AB174" t="s">
        <v>407</v>
      </c>
      <c r="AC174" t="s">
        <v>447</v>
      </c>
      <c r="AD174" t="s">
        <v>452</v>
      </c>
      <c r="AE174" t="s">
        <v>453</v>
      </c>
      <c r="AF174" t="s">
        <v>55</v>
      </c>
      <c r="AH174" t="s">
        <v>336</v>
      </c>
      <c r="AI174" t="s">
        <v>116</v>
      </c>
      <c r="AJ174" t="s">
        <v>55</v>
      </c>
    </row>
    <row r="175" spans="28:36">
      <c r="AB175" t="s">
        <v>407</v>
      </c>
      <c r="AC175" t="s">
        <v>424</v>
      </c>
      <c r="AD175" t="s">
        <v>435</v>
      </c>
      <c r="AE175" t="s">
        <v>436</v>
      </c>
      <c r="AF175" t="s">
        <v>48</v>
      </c>
      <c r="AH175" t="s">
        <v>176</v>
      </c>
      <c r="AI175" t="s">
        <v>184</v>
      </c>
      <c r="AJ175" t="s">
        <v>55</v>
      </c>
    </row>
    <row r="176" spans="28:36">
      <c r="AB176" t="s">
        <v>407</v>
      </c>
      <c r="AC176" t="s">
        <v>447</v>
      </c>
      <c r="AD176" t="s">
        <v>450</v>
      </c>
      <c r="AE176" t="s">
        <v>451</v>
      </c>
      <c r="AF176" t="s">
        <v>48</v>
      </c>
      <c r="AH176" t="s">
        <v>207</v>
      </c>
      <c r="AI176" t="s">
        <v>286</v>
      </c>
      <c r="AJ176" t="s">
        <v>55</v>
      </c>
    </row>
    <row r="177" spans="28:36">
      <c r="AB177" t="s">
        <v>407</v>
      </c>
      <c r="AC177" t="s">
        <v>458</v>
      </c>
      <c r="AD177" t="s">
        <v>465</v>
      </c>
      <c r="AE177" t="s">
        <v>466</v>
      </c>
      <c r="AF177" t="s">
        <v>48</v>
      </c>
      <c r="AH177" t="s">
        <v>288</v>
      </c>
      <c r="AI177" t="s">
        <v>402</v>
      </c>
      <c r="AJ177" t="s">
        <v>55</v>
      </c>
    </row>
    <row r="178" spans="28:36">
      <c r="AB178" t="s">
        <v>407</v>
      </c>
      <c r="AC178" t="s">
        <v>424</v>
      </c>
      <c r="AD178" t="s">
        <v>443</v>
      </c>
      <c r="AE178" t="s">
        <v>444</v>
      </c>
      <c r="AF178" t="s">
        <v>55</v>
      </c>
      <c r="AH178" t="s">
        <v>89</v>
      </c>
      <c r="AI178" t="s">
        <v>319</v>
      </c>
      <c r="AJ178" t="s">
        <v>55</v>
      </c>
    </row>
    <row r="179" spans="28:36">
      <c r="AB179" t="s">
        <v>407</v>
      </c>
      <c r="AC179" t="s">
        <v>424</v>
      </c>
      <c r="AD179" t="s">
        <v>427</v>
      </c>
      <c r="AE179" t="s">
        <v>428</v>
      </c>
      <c r="AF179" t="s">
        <v>55</v>
      </c>
      <c r="AH179" t="s">
        <v>277</v>
      </c>
      <c r="AI179" t="s">
        <v>308</v>
      </c>
      <c r="AJ179" t="s">
        <v>55</v>
      </c>
    </row>
    <row r="180" spans="28:36">
      <c r="AB180" t="s">
        <v>407</v>
      </c>
      <c r="AC180" t="s">
        <v>424</v>
      </c>
      <c r="AD180" t="s">
        <v>433</v>
      </c>
      <c r="AE180" t="s">
        <v>434</v>
      </c>
      <c r="AF180" t="s">
        <v>178</v>
      </c>
      <c r="AH180" t="s">
        <v>183</v>
      </c>
      <c r="AI180" t="s">
        <v>84</v>
      </c>
      <c r="AJ180" t="s">
        <v>55</v>
      </c>
    </row>
    <row r="181" spans="28:36">
      <c r="AB181" t="s">
        <v>407</v>
      </c>
      <c r="AC181" t="s">
        <v>458</v>
      </c>
      <c r="AD181" t="s">
        <v>475</v>
      </c>
      <c r="AE181" t="s">
        <v>476</v>
      </c>
      <c r="AF181" t="s">
        <v>178</v>
      </c>
      <c r="AH181" t="s">
        <v>334</v>
      </c>
      <c r="AI181" t="s">
        <v>404</v>
      </c>
      <c r="AJ181" t="s">
        <v>55</v>
      </c>
    </row>
    <row r="182" spans="28:36">
      <c r="AB182" t="s">
        <v>407</v>
      </c>
      <c r="AC182" t="s">
        <v>409</v>
      </c>
      <c r="AD182" t="s">
        <v>414</v>
      </c>
      <c r="AE182" t="s">
        <v>415</v>
      </c>
      <c r="AF182" t="s">
        <v>55</v>
      </c>
      <c r="AH182" t="s">
        <v>219</v>
      </c>
      <c r="AI182" t="s">
        <v>406</v>
      </c>
      <c r="AJ182" t="s">
        <v>55</v>
      </c>
    </row>
    <row r="183" spans="28:36">
      <c r="AB183" t="s">
        <v>407</v>
      </c>
      <c r="AC183" t="s">
        <v>458</v>
      </c>
      <c r="AD183" t="s">
        <v>471</v>
      </c>
      <c r="AE183" t="s">
        <v>472</v>
      </c>
      <c r="AF183" t="s">
        <v>48</v>
      </c>
      <c r="AH183" t="s">
        <v>86</v>
      </c>
      <c r="AI183" t="s">
        <v>215</v>
      </c>
      <c r="AJ183" t="s">
        <v>55</v>
      </c>
    </row>
    <row r="184" spans="28:36">
      <c r="AB184" t="s">
        <v>407</v>
      </c>
      <c r="AC184" t="s">
        <v>458</v>
      </c>
      <c r="AD184" t="s">
        <v>473</v>
      </c>
      <c r="AE184" t="s">
        <v>474</v>
      </c>
      <c r="AF184" t="s">
        <v>55</v>
      </c>
      <c r="AH184" t="s">
        <v>160</v>
      </c>
      <c r="AI184" t="s">
        <v>371</v>
      </c>
      <c r="AJ184" t="s">
        <v>55</v>
      </c>
    </row>
    <row r="185" spans="28:36">
      <c r="AB185" t="s">
        <v>407</v>
      </c>
      <c r="AC185" t="s">
        <v>424</v>
      </c>
      <c r="AD185" t="s">
        <v>425</v>
      </c>
      <c r="AE185" t="s">
        <v>426</v>
      </c>
      <c r="AF185" t="s">
        <v>48</v>
      </c>
      <c r="AH185" t="s">
        <v>461</v>
      </c>
      <c r="AI185" t="s">
        <v>217</v>
      </c>
      <c r="AJ185" t="s">
        <v>55</v>
      </c>
    </row>
    <row r="186" spans="28:36">
      <c r="AB186" t="s">
        <v>407</v>
      </c>
      <c r="AC186" t="s">
        <v>458</v>
      </c>
      <c r="AD186" t="s">
        <v>469</v>
      </c>
      <c r="AE186" t="s">
        <v>470</v>
      </c>
      <c r="AF186" t="s">
        <v>88</v>
      </c>
      <c r="AH186" t="s">
        <v>68</v>
      </c>
      <c r="AI186" t="s">
        <v>133</v>
      </c>
      <c r="AJ186" t="s">
        <v>55</v>
      </c>
    </row>
    <row r="187" spans="28:36">
      <c r="AB187" t="s">
        <v>407</v>
      </c>
      <c r="AC187" t="s">
        <v>458</v>
      </c>
      <c r="AD187" t="s">
        <v>461</v>
      </c>
      <c r="AE187" t="s">
        <v>462</v>
      </c>
      <c r="AF187" t="s">
        <v>55</v>
      </c>
      <c r="AH187" t="s">
        <v>418</v>
      </c>
      <c r="AI187" t="s">
        <v>457</v>
      </c>
      <c r="AJ187" t="s">
        <v>55</v>
      </c>
    </row>
    <row r="188" spans="28:36">
      <c r="AB188" t="s">
        <v>407</v>
      </c>
      <c r="AC188" t="s">
        <v>409</v>
      </c>
      <c r="AD188" t="s">
        <v>418</v>
      </c>
      <c r="AE188" t="s">
        <v>419</v>
      </c>
      <c r="AF188" t="s">
        <v>55</v>
      </c>
      <c r="AH188" t="s">
        <v>275</v>
      </c>
      <c r="AI188" t="s">
        <v>476</v>
      </c>
      <c r="AJ188" t="s">
        <v>55</v>
      </c>
    </row>
  </sheetData>
  <pageMargins left="0.7" right="0.7" top="0.75" bottom="0.75" header="0.3" footer="0.3"/>
  <pageSetup paperSize="9"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2DA09E7DB1504F9CD3EAF4ABDDF2F5" ma:contentTypeVersion="10" ma:contentTypeDescription="Create a new document." ma:contentTypeScope="" ma:versionID="d00765c204c3d480400582f594b6cdf0">
  <xsd:schema xmlns:xsd="http://www.w3.org/2001/XMLSchema" xmlns:xs="http://www.w3.org/2001/XMLSchema" xmlns:p="http://schemas.microsoft.com/office/2006/metadata/properties" xmlns:ns2="96aa2fc0-301b-4a61-a3f3-f6190db7dced" xmlns:ns3="5bef9af6-2325-4809-906e-6a45964a3bc6" targetNamespace="http://schemas.microsoft.com/office/2006/metadata/properties" ma:root="true" ma:fieldsID="7332366ef7ed03892e0015dad77cc500" ns2:_="" ns3:_="">
    <xsd:import namespace="96aa2fc0-301b-4a61-a3f3-f6190db7dced"/>
    <xsd:import namespace="5bef9af6-2325-4809-906e-6a45964a3bc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aa2fc0-301b-4a61-a3f3-f6190db7dce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bef9af6-2325-4809-906e-6a45964a3bc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8F429CA-00BD-4A4B-A100-3FC08FB329D3}"/>
</file>

<file path=customXml/itemProps2.xml><?xml version="1.0" encoding="utf-8"?>
<ds:datastoreItem xmlns:ds="http://schemas.openxmlformats.org/officeDocument/2006/customXml" ds:itemID="{5262EB6A-A66B-4CE1-A0F6-D40E740FA556}"/>
</file>

<file path=customXml/itemProps3.xml><?xml version="1.0" encoding="utf-8"?>
<ds:datastoreItem xmlns:ds="http://schemas.openxmlformats.org/officeDocument/2006/customXml" ds:itemID="{8CDDA63A-40DE-42C7-B6FE-7A7DC8D765A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Hughes Joe (NHS SCWCSU)</dc:creator>
  <cp:keywords/>
  <dc:description/>
  <cp:lastModifiedBy>Malwina</cp:lastModifiedBy>
  <cp:revision/>
  <dcterms:created xsi:type="dcterms:W3CDTF">2022-08-19T06:57:25Z</dcterms:created>
  <dcterms:modified xsi:type="dcterms:W3CDTF">2022-10-03T15:54:48Z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2699f964-dbf8-425f-a9ea-b88656566af6</vt:lpwstr>
  </property>
  <property fmtid="{D5CDD505-2E9C-101B-9397-08002B2CF9AE}" pid="3" name="ContentTypeId">
    <vt:lpwstr>0x010100F82DA09E7DB1504F9CD3EAF4ABDDF2F5</vt:lpwstr>
  </property>
  <property fmtid="{D5CDD505-2E9C-101B-9397-08002B2CF9AE}" pid="4" name="Order">
    <vt:r8>30600</vt:r8>
  </property>
  <property fmtid="{D5CDD505-2E9C-101B-9397-08002B2CF9AE}" pid="5" name="xd_Signature">
    <vt:bool>false</vt:bool>
  </property>
  <property fmtid="{D5CDD505-2E9C-101B-9397-08002B2CF9AE}" pid="6" name="xd_ProgID">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MediaServiceImageTags">
    <vt:lpwstr/>
  </property>
</Properties>
</file>